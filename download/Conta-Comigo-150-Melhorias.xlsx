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Alto impacto (50)" sheetId="2" state="visible" r:id="rId4"/>
    <sheet name="Médio impacto (50)" sheetId="3" state="visible" r:id="rId5"/>
    <sheet name="Baixo impacto (50)" sheetId="4" state="visible" r:id="rId6"/>
  </sheets>
  <definedNames>
    <definedName function="false" hidden="false" localSheetId="1" name="_xlnm.Print_Titles" vbProcedure="false">'Alto impacto (50)'!$4:$4</definedName>
    <definedName function="false" hidden="true" localSheetId="1" name="_xlnm._FilterDatabase" vbProcedure="false">'Alto impacto (50)'!$B$4:$G$54</definedName>
    <definedName function="false" hidden="false" localSheetId="3" name="_xlnm.Print_Titles" vbProcedure="false">'Baixo impacto (50)'!$4:$4</definedName>
    <definedName function="false" hidden="true" localSheetId="3" name="_xlnm._FilterDatabase" vbProcedure="false">'Baixo impacto (50)'!$B$4:$G$54</definedName>
    <definedName function="false" hidden="false" localSheetId="2" name="_xlnm.Print_Titles" vbProcedure="false">'Médio impacto (50)'!$4:$4</definedName>
    <definedName function="false" hidden="true" localSheetId="2" name="_xlnm._FilterDatabase" vbProcedure="false">'Médio impacto (50)'!$B$4:$G$54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<sst xmlns="http://schemas.openxmlformats.org/spreadsheetml/2006/main" count="1054" uniqueCount="505">
  <si>
    <t xml:space="preserve">Conta Comigo — Levantamento de 150 Melhorias</t>
  </si>
  <si>
    <t xml:space="preserve">Metodologia: novo levantamento elaborado em outubro de 2026 para o aplicativo Conta Comigo (extensão</t>
  </si>
  <si>
    <t xml:space="preserve">Chromium + Firefox de matemática lúdica para crianças a partir de 4 anos), conforme solicitado: 50 itens de</t>
  </si>
  <si>
    <t xml:space="preserve">alto impacto, 50 de médio e 50 de baixo. Esta edição é COMPLEMENTAR e INÉDITA em relação ao levantamento</t>
  </si>
  <si>
    <t xml:space="preserve">anterior de 750 itens (arquivo Conta-Comigo-750-Melhorias.xlsx): nenhum título se repete entre as duas edições.</t>
  </si>
  <si>
    <t xml:space="preserve">Cada item traz domínio, título, descrição, esforço estimado (Pequeno/Médio/Grande) e faixa de versão sugerida</t>
  </si>
  <si>
    <t xml:space="preserve">(v2.4-v2.5 curto prazo, v2.6-v2.9 médio prazo, v3.x longo prazo). Use os filtros das abas para cruzar domínio,</t>
  </si>
  <si>
    <t xml:space="preserve">esforço e faixa. Nenhum item já entregue nas versões até 2.3.0 foi incluído.</t>
  </si>
  <si>
    <t xml:space="preserve">Impacto</t>
  </si>
  <si>
    <t xml:space="preserve">Itens</t>
  </si>
  <si>
    <t xml:space="preserve">Domínios</t>
  </si>
  <si>
    <t xml:space="preserve">Aba</t>
  </si>
  <si>
    <t xml:space="preserve">Alto</t>
  </si>
  <si>
    <t xml:space="preserve">Alto impacto (50)</t>
  </si>
  <si>
    <t xml:space="preserve">Médio</t>
  </si>
  <si>
    <t xml:space="preserve">Médio impacto (50)</t>
  </si>
  <si>
    <t xml:space="preserve">Baixo</t>
  </si>
  <si>
    <t xml:space="preserve">Baixo impacto (50)</t>
  </si>
  <si>
    <t xml:space="preserve">Total</t>
  </si>
  <si>
    <t xml:space="preserve">Esforço × Impacto (contagem de itens)</t>
  </si>
  <si>
    <t xml:space="preserve">Esforço</t>
  </si>
  <si>
    <t xml:space="preserve">Pequeno</t>
  </si>
  <si>
    <t xml:space="preserve">Grande</t>
  </si>
  <si>
    <t xml:space="preserve">Destaques de alto impacto (10 primeiros da aba)</t>
  </si>
  <si>
    <t xml:space="preserve">ID</t>
  </si>
  <si>
    <t xml:space="preserve">Melhoria</t>
  </si>
  <si>
    <t xml:space="preserve">A-150-001</t>
  </si>
  <si>
    <t xml:space="preserve">Distribuição um a um</t>
  </si>
  <si>
    <t xml:space="preserve">A-150-002</t>
  </si>
  <si>
    <t xml:space="preserve">Antes, depois e entre</t>
  </si>
  <si>
    <t xml:space="preserve">A-150-003</t>
  </si>
  <si>
    <t xml:space="preserve">Conservação de quantidade</t>
  </si>
  <si>
    <t xml:space="preserve">A-150-004</t>
  </si>
  <si>
    <t xml:space="preserve">Qual é o sinal?</t>
  </si>
  <si>
    <t xml:space="preserve">A-150-005</t>
  </si>
  <si>
    <t xml:space="preserve">Verdadeiro ou falso matemático</t>
  </si>
  <si>
    <t xml:space="preserve">A-150-006</t>
  </si>
  <si>
    <t xml:space="preserve">Somar três parcelas</t>
  </si>
  <si>
    <t xml:space="preserve">A-150-007</t>
  </si>
  <si>
    <t xml:space="preserve">Famílias de fatos</t>
  </si>
  <si>
    <t xml:space="preserve">A-150-008</t>
  </si>
  <si>
    <t xml:space="preserve">Arredondamento na feira</t>
  </si>
  <si>
    <t xml:space="preserve">A-150-009</t>
  </si>
  <si>
    <t xml:space="preserve">Ordinais na corrida</t>
  </si>
  <si>
    <t xml:space="preserve">A-150-010</t>
  </si>
  <si>
    <t xml:space="preserve">Calendário da criança</t>
  </si>
  <si>
    <t xml:space="preserve">Domínios por impacto</t>
  </si>
  <si>
    <t xml:space="preserve">Domínio</t>
  </si>
  <si>
    <t xml:space="preserve">Acessibilidade e Inclusão</t>
  </si>
  <si>
    <t xml:space="preserve">Controle Parental e Família</t>
  </si>
  <si>
    <t xml:space="preserve">Gamificação e Motivação</t>
  </si>
  <si>
    <t xml:space="preserve">Modos de Jogo e Conteúdo</t>
  </si>
  <si>
    <t xml:space="preserve">Pedagogia e Currículo</t>
  </si>
  <si>
    <t xml:space="preserve">Plataforma e Arquitetura</t>
  </si>
  <si>
    <t xml:space="preserve">Social Seguro</t>
  </si>
  <si>
    <t xml:space="preserve">Voz, Som e Narração</t>
  </si>
  <si>
    <t xml:space="preserve">Adaptatividade e IA</t>
  </si>
  <si>
    <t xml:space="preserve">Interface e Navegação</t>
  </si>
  <si>
    <t xml:space="preserve">Internacionalização</t>
  </si>
  <si>
    <t xml:space="preserve">Qualidade e Ferramentas</t>
  </si>
  <si>
    <t xml:space="preserve">Relatórios e Acompanhamento</t>
  </si>
  <si>
    <t xml:space="preserve">Segurança e Privacidade</t>
  </si>
  <si>
    <t xml:space="preserve">Configurações Avançadas</t>
  </si>
  <si>
    <t xml:space="preserve">Diversão e Easter Eggs</t>
  </si>
  <si>
    <t xml:space="preserve">Polimento Visual</t>
  </si>
  <si>
    <t xml:space="preserve">Temas e Cosméticos</t>
  </si>
  <si>
    <t xml:space="preserve">Gerado em 19/10/2026 · Edição de 150 itens (50 alto + 50 médio + 50 baixo), inédita e complementar à edição de 750.</t>
  </si>
  <si>
    <t xml:space="preserve">Melhorias de alto impacto — 50 itens inéditos</t>
  </si>
  <si>
    <t xml:space="preserve">Descrição</t>
  </si>
  <si>
    <t xml:space="preserve">Faixa sugerida</t>
  </si>
  <si>
    <t xml:space="preserve">Dar exatamente um biscoito para cada urso arrastando itens, consolidando a correspondência um-para-um que sustenta toda a contagem e a comparação de coleções nos 4 anos.</t>
  </si>
  <si>
    <t xml:space="preserve">v2.4-v2.5</t>
  </si>
  <si>
    <t xml:space="preserve">Questões de números vizinhos (qual vem antes de 8, qual fica entre 12 e 14) com trilha visual de pedrinhas, fechando a compreensão da reta numérica nos pequenos.</t>
  </si>
  <si>
    <t xml:space="preserve">Desafios ao estilo Piaget: o mesmo número apresentado em arranjos diferentes (apertado ou espalhado) e a criança responde se ainda é igual, reforçando o raciocínio conservacional.</t>
  </si>
  <si>
    <t xml:space="preserve">v2.6-v2.9</t>
  </si>
  <si>
    <t xml:space="preserve">Questões com a operação faltante (4 ? 2 = 6) em que a criança escolhe entre mais, menos e igual, aprendendo a ler a estrutura da conta e não apenas o resultado.</t>
  </si>
  <si>
    <t xml:space="preserve">Frases curtas apresentadas como afirmações (9 é maior que 6, 3 e 2 fazem 5) com botões de verdadeiro e falso, treinando o julgamento e o vocabulário matemático.</t>
  </si>
  <si>
    <t xml:space="preserve">Contas com três grupos visuais (4 + 3 + 2) organizados da esquerda para a direita, preparando a soma de múltiplos termos com apoio de objetos contáveis.</t>
  </si>
  <si>
    <t xml:space="preserve">Quatro cartas conectadas (4+3, 3+4, 7−3, 7−4) mostrando que soma e subtração são o mesmo segredo contado de jeitos diferentes, com virada animada entre as cartas.</t>
  </si>
  <si>
    <t xml:space="preserve">Aproximar valores para a dezena mais próxima (23 fica perto de 20) com caixas de frutas ilustradas, base do cálculo mental estimado do dia a dia.</t>
  </si>
  <si>
    <t xml:space="preserve">Perguntas de posição (quem chegou em 3º lugar?) com corridinhas ilustradas, apresentando primeiro, segundo e terceiro nas três línguas do jogo.</t>
  </si>
  <si>
    <t xml:space="preserve">Mini-calendário explorável com dias da semana, semanas e meses em que a criança marca o dia de hoje e conta quantos faltam para eventos (aniversário, fim de semana).</t>
  </si>
  <si>
    <t xml:space="preserve">A-150-011</t>
  </si>
  <si>
    <t xml:space="preserve">Termômetro e temperatura</t>
  </si>
  <si>
    <t xml:space="preserve">Comparar marcas de termômetro (mais quente, mais frio) e somar ou subtrair graus simples, apresentando números abaixo de zero de forma visual em cidades geladas.</t>
  </si>
  <si>
    <t xml:space="preserve">v3.x</t>
  </si>
  <si>
    <t xml:space="preserve">A-150-012</t>
  </si>
  <si>
    <t xml:space="preserve">Duração das atividades</t>
  </si>
  <si>
    <t xml:space="preserve">Questões que comparam quanto tempo dura cada coisa (escovar os dentes ou ver um filme?) com barras de tempo, criando o senso de minuto, hora e ordem de grandeza.</t>
  </si>
  <si>
    <t xml:space="preserve">A-150-013</t>
  </si>
  <si>
    <t xml:space="preserve">Gráficos de barras da turma</t>
  </si>
  <si>
    <t xml:space="preserve">Ler gráficos de barras simples (fruta favorita dos amigos) respondendo qual tem mais, quantos votos tem cada barra e qual a soma, iniciando o letramento de dados.</t>
  </si>
  <si>
    <t xml:space="preserve">A-150-014</t>
  </si>
  <si>
    <t xml:space="preserve">Tabelas de dupla entrada</t>
  </si>
  <si>
    <t xml:space="preserve">Tabelas pequenas de linhas e colunas (bichos e comidas com marcações) com perguntas de cruzamento (quantos coelhos gostam de cenoura?), base da organização de informação.</t>
  </si>
  <si>
    <t xml:space="preserve">A-150-015</t>
  </si>
  <si>
    <t xml:space="preserve">Probabilidade com dado e moeda</t>
  </si>
  <si>
    <t xml:space="preserve">Experimentos lúdicos: qual cor é mais provável de sair no dado, quantas caras tem a moeda, repetições com contagem de resultados, intuição estatística desde cedo.</t>
  </si>
  <si>
    <t xml:space="preserve">A-150-016</t>
  </si>
  <si>
    <t xml:space="preserve">Números romanos no relógio antigo</t>
  </si>
  <si>
    <t xml:space="preserve">Introdução lúdica aos algarismos romanos I, V e X em relógios de torre e capítulos de filme, com correspondência ao nosso sistema e questões de leitura.</t>
  </si>
  <si>
    <t xml:space="preserve">A-150-017</t>
  </si>
  <si>
    <t xml:space="preserve">Estimativa de resultado</t>
  </si>
  <si>
    <t xml:space="preserve">Antes de calcular, a criança aposta se o resultado será maior ou menor que um número âncora (mais ou menos 10?), treinando senso numérico e checagem plausível das contas.</t>
  </si>
  <si>
    <t xml:space="preserve">A-150-018</t>
  </si>
  <si>
    <t xml:space="preserve">Balança da igualdade</t>
  </si>
  <si>
    <t xml:space="preserve">Pré-álgebra com balança de dois pratos: qual peso escondido deixa os lados iguais (4 + ? = 7), introdução suave à incógnita com feedback visual de equilíbrio.</t>
  </si>
  <si>
    <t xml:space="preserve">A-150-019</t>
  </si>
  <si>
    <t xml:space="preserve">Máquina de transformações</t>
  </si>
  <si>
    <t xml:space="preserve">Uma caixa mágica aplica uma regra secreta ao número que entra (entra 3, sai 6) e a criança descobre a regra e preenche o próximo resultado, base do pensamento funcional.</t>
  </si>
  <si>
    <t xml:space="preserve">A-150-020</t>
  </si>
  <si>
    <t xml:space="preserve">Caça às soluções abertas</t>
  </si>
  <si>
    <t xml:space="preserve">Quantas contas diferentes dão 10? A criança envia várias respostas válidas e cada nova solução vira estrela, valorizando o pensamento divergente em vez da resposta única.</t>
  </si>
  <si>
    <t xml:space="preserve">A-150-021</t>
  </si>
  <si>
    <t xml:space="preserve">Tangram das formas</t>
  </si>
  <si>
    <t xml:space="preserve">Montar figuras (gato, barco, casa) encaixando triângulos, quadrado e paralelogramo em molduras iluminadas, desenvolvendo composição geométrica e rotação mental.</t>
  </si>
  <si>
    <t xml:space="preserve">A-150-022</t>
  </si>
  <si>
    <t xml:space="preserve">Lógica de dois atributos</t>
  </si>
  <si>
    <t xml:space="preserve">Classificar peças que têm cor E forma nos círculos certos (triângulos vermelhos ficam onde os dois círculos se cruzam), introdução suave à lógica de conjuntos.</t>
  </si>
  <si>
    <t xml:space="preserve">A-150-023</t>
  </si>
  <si>
    <t xml:space="preserve">Mapa do tesouro com coordenadas</t>
  </si>
  <si>
    <t xml:space="preserve">Achar o baú usando coordenadas simples (B4, linha e coluna com pista visual), explorando a grade cartesiana numa ilha ilustrada com paus de marcação.</t>
  </si>
  <si>
    <t xml:space="preserve">A-150-024</t>
  </si>
  <si>
    <t xml:space="preserve">Trilha de tabuleiro</t>
  </si>
  <si>
    <t xml:space="preserve">Tabuleiro de 40 casas: a cada rodada de conta, o peão anda o número do resultado, com casas especiais de bônus e atalhos, jogável em família ou contra a raposa.</t>
  </si>
  <si>
    <t xml:space="preserve">A-150-025</t>
  </si>
  <si>
    <t xml:space="preserve">Bingo dos números</t>
  </si>
  <si>
    <t xml:space="preserve">Cartelas de 9 números para o bingo da família na tela: a raposa anuncia a conta e todos marcam o resultado, com turnos passando o dispositivo ou jogando em grupo no sofá.</t>
  </si>
  <si>
    <t xml:space="preserve">A-150-026</t>
  </si>
  <si>
    <t xml:space="preserve">Jogo da velha matemático</t>
  </si>
  <si>
    <t xml:space="preserve">Para conquistar a casa é preciso acertar a conta daquela posição contra a raposa, fundindo a estratégia clássica com cálculo rápido em partidas de dois minutos.</t>
  </si>
  <si>
    <t xml:space="preserve">A-150-027</t>
  </si>
  <si>
    <t xml:space="preserve">Baralho da soma</t>
  </si>
  <si>
    <t xml:space="preserve">Coleção de jogos de mesa digitais com cartas numeradas (guerra das somas, pescaria de pares que somam 10), cada um com a regra explicada por voz em vinte segundos.</t>
  </si>
  <si>
    <t xml:space="preserve">A-150-028</t>
  </si>
  <si>
    <t xml:space="preserve">Matemática do corpo</t>
  </si>
  <si>
    <t xml:space="preserve">Questões que pedem ação física ilustrada: bater palmas 6 vezes, pular o número de vezes da resposta, tocar a cabeça 2 vezes menos que 5, unindo corpo e número.</t>
  </si>
  <si>
    <t xml:space="preserve">A-150-029</t>
  </si>
  <si>
    <t xml:space="preserve">Quadro livre monte e conte</t>
  </si>
  <si>
    <t xml:space="preserve">Tela de exploração sem errado: arrastar frutas, blocos e bichos para a cena enquanto um contador gentil narra o total ao vivo, transformando qualquer arranjo em aula de contagem.</t>
  </si>
  <si>
    <t xml:space="preserve">A-150-030</t>
  </si>
  <si>
    <t xml:space="preserve">Física das bolinhas</t>
  </si>
  <si>
    <t xml:space="preserve">Somar e subtrair soltando bolinhas com física leve que rolam para os pratos, tornando o cálculo uma experiência tátil e divertida com colisões e sons suaves.</t>
  </si>
  <si>
    <t xml:space="preserve">A-150-031</t>
  </si>
  <si>
    <t xml:space="preserve">Contra a raposa</t>
  </si>
  <si>
    <t xml:space="preserve">Adversário de inteligência local com três personalidades (apressada, calma, craque) que erra e acerta de forma verossímil, trazendo a emoção do duelo para quem está sozinho.</t>
  </si>
  <si>
    <t xml:space="preserve">A-150-032</t>
  </si>
  <si>
    <t xml:space="preserve">Teclado dividido para 2 jogadores</t>
  </si>
  <si>
    <t xml:space="preserve">Modo simultâneo em que dois jogadores respondem com metades diferentes do teclado na mesma questão, com placar ao vivo e sem turnos de espera.</t>
  </si>
  <si>
    <t xml:space="preserve">A-150-033</t>
  </si>
  <si>
    <t xml:space="preserve">Quente-frio da resposta</t>
  </si>
  <si>
    <t xml:space="preserve">A criança dá palpites e a raposa diz quente ou frio conforme se aproxima do resultado, ensinando a navegar na linha do número por teste e ajuste.</t>
  </si>
  <si>
    <t xml:space="preserve">A-150-034</t>
  </si>
  <si>
    <t xml:space="preserve">Estúdio de questões</t>
  </si>
  <si>
    <t xml:space="preserve">Modo criativo em que a criança monta a própria conta com peças visuais e desafia o adulto (ou a raposa) a resolver, invertendo papéis e aprofundando a compreensão.</t>
  </si>
  <si>
    <t xml:space="preserve">A-150-035</t>
  </si>
  <si>
    <t xml:space="preserve">Progressão por biomas</t>
  </si>
  <si>
    <t xml:space="preserve">Mapa-múndi com Praia, Floresta, Cerrado e Espaço: cada bioma desbloqueia modos temáticos com cenários próprios, dando direção de longo prazo à exploração do jogo.</t>
  </si>
  <si>
    <t xml:space="preserve">A-150-036</t>
  </si>
  <si>
    <t xml:space="preserve">Missões épicas de 30 dias</t>
  </si>
  <si>
    <t xml:space="preserve">Caminhos de missão longos (a Grande Feira, o Vulcão dos Números) com capítulos diários curtos e colecionável no fim, sustentando constância sem pressão.</t>
  </si>
  <si>
    <t xml:space="preserve">A-150-037</t>
  </si>
  <si>
    <t xml:space="preserve">Retrospectiva animada do ano</t>
  </si>
  <si>
    <t xml:space="preserve">No aniversário de cada perfil, uma apresentação de 30 segundos com os números do ano (rodadas, estrelas, modo favorito) em formato de fotografia animada para ver em família.</t>
  </si>
  <si>
    <t xml:space="preserve">A-150-038</t>
  </si>
  <si>
    <t xml:space="preserve">Placar global por temporada</t>
  </si>
  <si>
    <t xml:space="preserve">Ranking mensal opcional e consentido com apenas apelido, avatar e estrelas (nunca dados pessoais), auditado e desligável por perfil, materializando a competição saudável sem nenhum canal de conversa.</t>
  </si>
  <si>
    <t xml:space="preserve">A-150-039</t>
  </si>
  <si>
    <t xml:space="preserve">Ideias sem tela do dia</t>
  </si>
  <si>
    <t xml:space="preserve">Sugestão diária de atividade offscreen para a família (contar os talheres na mesa, separar meias em pares) ligada à habilidade que a criança está praticando, exibida na área dos responsáveis.</t>
  </si>
  <si>
    <t xml:space="preserve">A-150-040</t>
  </si>
  <si>
    <t xml:space="preserve">Recompensas do mundo real</t>
  </si>
  <si>
    <t xml:space="preserve">Adultos cadastram recompensas caseiras (pizza de sábado, ida ao parque) com custo em estrelas, e o app avisa quando o cofrinho bate a meta, conectando jogo e família.</t>
  </si>
  <si>
    <t xml:space="preserve">A-150-041</t>
  </si>
  <si>
    <t xml:space="preserve">Modo pré-leitor (zero texto)</t>
  </si>
  <si>
    <t xml:space="preserve">Preset completo que substitui toda a interface por ícones grandes e narração: nenhuma palavra exigida para jogar, desenhado para crianças de 4 anos e leitores iniciantes.</t>
  </si>
  <si>
    <t xml:space="preserve">A-150-042</t>
  </si>
  <si>
    <t xml:space="preserve">Suporte a gamepad</t>
  </si>
  <si>
    <t xml:space="preserve">Controle de videogame como dispositivo de resposta (direcional navega, botões confirmam) via Gamepad API, abrindo o jogo para quem tem limitação motora fina e para o modo sofá.</t>
  </si>
  <si>
    <t xml:space="preserve">A-150-043</t>
  </si>
  <si>
    <t xml:space="preserve">Compatibilidade com display braille</t>
  </si>
  <si>
    <t xml:space="preserve">Revisão completa das saídas textuais (rótulos acessíveis, legendas e estados) para que displays braille e leitores de linha recebam conteúdo limpo, estável e sem ruído visual.</t>
  </si>
  <si>
    <t xml:space="preserve">A-150-044</t>
  </si>
  <si>
    <t xml:space="preserve">Traçado de números com o dedo</t>
  </si>
  <si>
    <t xml:space="preserve">Escrever o número da resposta seguindo o rastro luminoso na ordem certa do traço, treinando a grafia e o reconhecimento motor dos algarismos de 0 a 9.</t>
  </si>
  <si>
    <t xml:space="preserve">A-150-045</t>
  </si>
  <si>
    <t xml:space="preserve">Voz gravada da família</t>
  </si>
  <si>
    <t xml:space="preserve">Opção de o responsável gravar (100% local, sem envio a servidores) frases de incentivo e contagem que a raposa usa no lugar da síntese, para a criança ouvir uma voz conhecida.</t>
  </si>
  <si>
    <t xml:space="preserve">A-150-046</t>
  </si>
  <si>
    <t xml:space="preserve">Micro-aulas animadas</t>
  </si>
  <si>
    <t xml:space="preserve">Videinhos de 30 a 45 segundos, ilustrados e narrados localmente, que ensinam um conceito por vez (o que é a metade, como funciona levar 1) antes de liberar o modo relacionado.</t>
  </si>
  <si>
    <t xml:space="preserve">A-150-047</t>
  </si>
  <si>
    <t xml:space="preserve">Assinatura sonora das operações</t>
  </si>
  <si>
    <t xml:space="preserve">Cada operação tem um motivo musical curto e constante (soma sobe, subtração desce, multiplicação pulsa), criando memória auditiva que ajuda a identificar a conta sem olhar.</t>
  </si>
  <si>
    <t xml:space="preserve">A-150-048</t>
  </si>
  <si>
    <t xml:space="preserve">Compartilhar via Web Share</t>
  </si>
  <si>
    <t xml:space="preserve">Botão de conquistas e recordes que abre o compartilhamento nativo do aparelho exportando apenas uma imagem comemorativa, sem nenhum dado de progresso ou identificação.</t>
  </si>
  <si>
    <t xml:space="preserve">A-150-049</t>
  </si>
  <si>
    <t xml:space="preserve">Blocos base-10 exploráveis</t>
  </si>
  <si>
    <t xml:space="preserve">Manipulativo virtual de unidades, barras de 10 e placas de 100 para montar e desmontar números livremente, com contador que acompanha em tempo real o valor montado.</t>
  </si>
  <si>
    <t xml:space="preserve">A-150-050</t>
  </si>
  <si>
    <t xml:space="preserve">Linha do número explorável</t>
  </si>
  <si>
    <t xml:space="preserve">Reta numérica de 0 a 20 (depois até 100) como brinquedo: pular de 2 em 2, esconder um número para adivinhar, medir pulos, tornando a base do cálculo mental um lugar para brincar.</t>
  </si>
  <si>
    <t xml:space="preserve">Melhorias de médio impacto — 50 itens inéditos</t>
  </si>
  <si>
    <t xml:space="preserve">M-150-001</t>
  </si>
  <si>
    <t xml:space="preserve">Respostas por arrastar</t>
  </si>
  <si>
    <t xml:space="preserve">Alternativa de interação em que as respostas são arrastadas até o balão da raposa (com retorno elástico se errar o alvo), variando a mecânica e ajudando quem ainda coordena mal o clique.</t>
  </si>
  <si>
    <t xml:space="preserve">M-150-002</t>
  </si>
  <si>
    <t xml:space="preserve">Rodada sob medida</t>
  </si>
  <si>
    <t xml:space="preserve">Antes de começar, marca-se 2 ou 3 habilidades para a rodada misturar (somar + dinheiro + sequências), criando treinos direcionados de forma simples e rápida.</t>
  </si>
  <si>
    <t xml:space="preserve">M-150-003</t>
  </si>
  <si>
    <t xml:space="preserve">Botão pular educativo</t>
  </si>
  <si>
    <t xml:space="preserve">Duas vezes por rodada a criança pode pular a questão: ela vai para o fim da fila e volta com dica maior, ensinando que sair e voltar é estratégia, não derrota.</t>
  </si>
  <si>
    <t xml:space="preserve">M-150-004</t>
  </si>
  <si>
    <t xml:space="preserve">Cruzadinha dos números</t>
  </si>
  <si>
    <t xml:space="preserve">Pequenas cruzadinhas em que as respostas são números por extenso ou resultados de contas, com pistas faladas pela raposa, unindo matemática e alfabetização.</t>
  </si>
  <si>
    <t xml:space="preserve">M-150-005</t>
  </si>
  <si>
    <t xml:space="preserve">Sopa de números</t>
  </si>
  <si>
    <t xml:space="preserve">Grade de letras com números por extenso escondidos (DOIS, SETE) e versão com resultados de contas como pistas, jogável com o dedo arrastando a seleção.</t>
  </si>
  <si>
    <t xml:space="preserve">M-150-006</t>
  </si>
  <si>
    <t xml:space="preserve">Ligue os pontos</t>
  </si>
  <si>
    <t xml:space="preserve">Desenhos ocultos revelados ao conectar pontos numerados em ordem (depois em pulos de 2 e 5), com a raposa colorindo o desenho ao completar, do passatempo clássico ao salto numérico.</t>
  </si>
  <si>
    <t xml:space="preserve">M-150-007</t>
  </si>
  <si>
    <t xml:space="preserve">Labirinto dos resultados</t>
  </si>
  <si>
    <t xml:space="preserve">Labirintos em que só abrem passagem os caminhos cujas portas mostram o resultado certo da conta, combinando raciocínio espacial e cálculo em níveis curtos.</t>
  </si>
  <si>
    <t xml:space="preserve">M-150-008</t>
  </si>
  <si>
    <t xml:space="preserve">Escolha múltipla (marque todas)</t>
  </si>
  <si>
    <t xml:space="preserve">Formato de questão com várias respostas certas (quais contas dão 8?) em que a criança marca todas, treinando a varredura completa em vez de parar na primeira.</t>
  </si>
  <si>
    <t xml:space="preserve">M-150-009</t>
  </si>
  <si>
    <t xml:space="preserve">A raposa erra de propósito</t>
  </si>
  <si>
    <t xml:space="preserve">Modo em que a raposa resolve em voz alta e às vezes erra; a criança precisa perceber e corrigir (Não! 5 e 3 é 8!), papel invertido que aprofunda a segurança no cálculo.</t>
  </si>
  <si>
    <t xml:space="preserve">M-150-010</t>
  </si>
  <si>
    <t xml:space="preserve">Histórias do folclore</t>
  </si>
  <si>
    <t xml:space="preserve">Pacote de histórias narradas com personagens do folclore brasileiro (Saci, Curupira, Boitatá) em que as continhas fazem parte do enredo, com cenas ilustradas.</t>
  </si>
  <si>
    <t xml:space="preserve">M-150-011</t>
  </si>
  <si>
    <t xml:space="preserve">Amarelinha matemática</t>
  </si>
  <si>
    <t xml:space="preserve">Amarelinha desenhada na tela: pular até a casa com o resultado certo, com cadência de pulos sonora, trazendo o brinquedo de rua para dentro do aplicativo.</t>
  </si>
  <si>
    <t xml:space="preserve">M-150-012</t>
  </si>
  <si>
    <t xml:space="preserve">Encontre as diferenças</t>
  </si>
  <si>
    <t xml:space="preserve">Duas cenas quase iguais com objetos contáveis e a criança aponta o que mudou (um balão a mais, duas flores a menos), misturando atenção visual e contagem comparativa.</t>
  </si>
  <si>
    <t xml:space="preserve">M-150-013</t>
  </si>
  <si>
    <t xml:space="preserve">Palavra tocável nas histórias</t>
  </si>
  <si>
    <t xml:space="preserve">Em qualquer texto de história, tocar numa palavra ou número faz a raposa ler só aquilo de novo e o item acende, apoiando pré-leitores e a curiosidade por palavras novas.</t>
  </si>
  <si>
    <t xml:space="preserve">M-150-014</t>
  </si>
  <si>
    <t xml:space="preserve">Checkpoint de rodada</t>
  </si>
  <si>
    <t xml:space="preserve">Rodada interrompida (aba fechada, janela fechada) guarda as questões já respondidas e oferece continuar de onde parou, com botão de Continuar rodada na tela inicial.</t>
  </si>
  <si>
    <t xml:space="preserve">M-150-015</t>
  </si>
  <si>
    <t xml:space="preserve">Toque para contar</t>
  </si>
  <si>
    <t xml:space="preserve">Modo de contagem em que cada objeto só entra na soma quando tocado um a um (com som e número crescendo), reforçando a correspondência gesto-quantidade nas crianças de 4 anos.</t>
  </si>
  <si>
    <t xml:space="preserve">M-150-016</t>
  </si>
  <si>
    <t xml:space="preserve">Combinam? (símbolo e visual)</t>
  </si>
  <si>
    <t xml:space="preserve">Pares para comparar: de um lado a conta escrita, do outro grupos desenhados, e a criança diz se combinam, treinando a ponte entre a representação simbólica e a concreta.</t>
  </si>
  <si>
    <t xml:space="preserve">M-150-017</t>
  </si>
  <si>
    <t xml:space="preserve">Ábaco interativo</t>
  </si>
  <si>
    <t xml:space="preserve">Ábaco horizontal com hastes de unidades e dezenas arrastáveis para representar e calcular contas visualmente, com o aplicativo lendo em voz alta o número formado.</t>
  </si>
  <si>
    <t xml:space="preserve">M-150-018</t>
  </si>
  <si>
    <t xml:space="preserve">Régua interativa</t>
  </si>
  <si>
    <t xml:space="preserve">Medir objetos ilustrados arrastando uma régua digital que mostra os centímetros, com questões de comparação (qual lápis é maior? quanto?), primeiro passo das medidas.</t>
  </si>
  <si>
    <t xml:space="preserve">M-150-019</t>
  </si>
  <si>
    <t xml:space="preserve">Galeria do número</t>
  </si>
  <si>
    <t xml:space="preserve">Exploração de um número por vários ângulos: dedos, dados, barras, relógio, dinheiro e palavra escrita na mesma tela tocável, formando intuição múltipla de cada quantidade.</t>
  </si>
  <si>
    <t xml:space="preserve">M-150-020</t>
  </si>
  <si>
    <t xml:space="preserve">Crie o padrão</t>
  </si>
  <si>
    <t xml:space="preserve">A criança monta a própria sequência com formas e cores e o jogo continua o padrão (ou desafia a continuar o padrão da raposa), trocando o papel de quem ensina.</t>
  </si>
  <si>
    <t xml:space="preserve">M-150-021</t>
  </si>
  <si>
    <t xml:space="preserve">Equivalências (duas contas, um resultado)</t>
  </si>
  <si>
    <t xml:space="preserve">Parear contas com mesmo resultado (4+3 e 5+2) em jogo de memória de equivalência ou botões gêmeos, mostrando que a soma tem muitos caminhos e preparando a flexibilidade mental.</t>
  </si>
  <si>
    <t xml:space="preserve">M-150-022</t>
  </si>
  <si>
    <t xml:space="preserve">Conta nos dedos ilustrada</t>
  </si>
  <si>
    <t xml:space="preserve">Cartões com mãos ilustradas mostrando números de 1 a 10 (depois duas mãos até 20) para apoiar quem está começando a contar nos dedos, com questões de quanto falta.</t>
  </si>
  <si>
    <t xml:space="preserve">M-150-023</t>
  </si>
  <si>
    <t xml:space="preserve">Metacognição pós-rodada</t>
  </si>
  <si>
    <t xml:space="preserve">Uma pergunta gentil ao fim (o que foi mais difícil hoje?) com três botões ilustrados; a resposta entra no painel e nas sugestões de revisão, ensinando autoconhecimento.</t>
  </si>
  <si>
    <t xml:space="preserve">M-150-024</t>
  </si>
  <si>
    <t xml:space="preserve">Quiz de conceitos semanal</t>
  </si>
  <si>
    <t xml:space="preserve">Uma vez por semana, três questões conceituais (o que é a metade? quando usamos menos?) em formato de conversa ilustrada, verificando a compreensão além do cálculo.</t>
  </si>
  <si>
    <t xml:space="preserve">M-150-025</t>
  </si>
  <si>
    <t xml:space="preserve">Que horas são agora?</t>
  </si>
  <si>
    <t xml:space="preserve">Questões conectadas ao relógio real do aparelho (que horas são neste momento? quanto falta para a hora marcada?), dando utilidade imediata ao modo relógio.</t>
  </si>
  <si>
    <t xml:space="preserve">M-150-026</t>
  </si>
  <si>
    <t xml:space="preserve">Rascunho na tela</t>
  </si>
  <si>
    <t xml:space="preserve">Botão de lousa que abre um quadro de rabisco (traços livres e carimbos de bolinhas) sobreposto durante a questão, permitindo desenhar grupos e riscar itens como no papel.</t>
  </si>
  <si>
    <t xml:space="preserve">M-150-027</t>
  </si>
  <si>
    <t xml:space="preserve">Abas no painel dos responsáveis</t>
  </si>
  <si>
    <t xml:space="preserve">Organizar o painel em abas (Progresso, Segurança, Preferências, Dados) com rolagem interna, reduzindo o tamanho da página e facilitando achar cada configuração.</t>
  </si>
  <si>
    <t xml:space="preserve">M-150-028</t>
  </si>
  <si>
    <t xml:space="preserve">Quem sou eu? (pistas lógicas)</t>
  </si>
  <si>
    <t xml:space="preserve">Adivinhar o número secreto com pistas progressivas (é maior que 5, é par, fica entre 6 e 9), aprendendo a usar informação parcial e eliminar possibilidades.</t>
  </si>
  <si>
    <t xml:space="preserve">M-150-029</t>
  </si>
  <si>
    <t xml:space="preserve">Previsão de marco</t>
  </si>
  <si>
    <t xml:space="preserve">No painel, estimativa gentil do dia provável de cada marco (quantos dias no ritmo atual para 200 estrelas) apresentada como calendário com estrelinhas, sem tom de cobrança.</t>
  </si>
  <si>
    <t xml:space="preserve">M-150-030</t>
  </si>
  <si>
    <t xml:space="preserve">Amostra de questões no painel</t>
  </si>
  <si>
    <t xml:space="preserve">No painel, cada modo tem um botão de exemplo que mostra 2 questões reais ilustradas, para o responsável entender exatamente o que a criança está praticando.</t>
  </si>
  <si>
    <t xml:space="preserve">M-150-031</t>
  </si>
  <si>
    <t xml:space="preserve">Folha de atividades imprimível</t>
  </si>
  <si>
    <t xml:space="preserve">Gerar uma folha em PDF com 10 a 20 contas do nível atual da criança (com espaço para desenhar grupos), levando a prática para fora da tela em viagens e deveres.</t>
  </si>
  <si>
    <t xml:space="preserve">M-150-032</t>
  </si>
  <si>
    <t xml:space="preserve">Seriação por atributos</t>
  </si>
  <si>
    <t xml:space="preserve">Ordenar 5 objetos por tamanho, peso ou comprimento arrastando para a estante certa, evoluindo da comparação binária para a ordenação completa, com feedback de quase lá.</t>
  </si>
  <si>
    <t xml:space="preserve">M-150-033</t>
  </si>
  <si>
    <t xml:space="preserve">Medidor de armazenamento</t>
  </si>
  <si>
    <t xml:space="preserve">No cartão de segurança das opções, mostrar quanto espaço o save usa e o limite prático, com aviso gentil quando o arquivo de exportação crescer demais.</t>
  </si>
  <si>
    <t xml:space="preserve">M-150-034</t>
  </si>
  <si>
    <t xml:space="preserve">Destaque karaoke na narração</t>
  </si>
  <si>
    <t xml:space="preserve">Durante a narração, a palavra ou o número falado acende em sequência (destaque palavra a palavra), apoiando dislexia, pré-leitores e quem acompanha com o olhar.</t>
  </si>
  <si>
    <t xml:space="preserve">M-150-035</t>
  </si>
  <si>
    <t xml:space="preserve">Sensibilidade de arrasto ajustável</t>
  </si>
  <si>
    <t xml:space="preserve">Configuração que define a distância mínima e a velocidade exigida nos gestos de arrastar, para que crianças com baixa motricidade consigam completar os mesmos movimentos.</t>
  </si>
  <si>
    <t xml:space="preserve">M-150-036</t>
  </si>
  <si>
    <t xml:space="preserve">Confirmação por toque longo</t>
  </si>
  <si>
    <t xml:space="preserve">Opção de responder segurando o dedo por meio segundo (com anel de progresso), filtrando toques acidentais de quem tem tremores ou toca com a mão toda.</t>
  </si>
  <si>
    <t xml:space="preserve">M-150-037</t>
  </si>
  <si>
    <t xml:space="preserve">Feedback espacial estéreo</t>
  </si>
  <si>
    <t xml:space="preserve">Indicar por estéreo em que lado da tela aconteceu cada evento (resposta aceita à direita soa à direita), mapa sonoro que ajuda quem navega por audição a localizar os elementos.</t>
  </si>
  <si>
    <t xml:space="preserve">M-150-038</t>
  </si>
  <si>
    <t xml:space="preserve">Ensine a raposa</t>
  </si>
  <si>
    <t xml:space="preserve">Após resolver, a criança pode gravar (local e temporário) sua explicação de como chegou ao resultado e ouvir de volta com a raposa aplaudindo, exercitando metacognição e linguagem.</t>
  </si>
  <si>
    <t xml:space="preserve">M-150-039</t>
  </si>
  <si>
    <t xml:space="preserve">Conta comigo passo a passo</t>
  </si>
  <si>
    <t xml:space="preserve">Modo de andaimes em que a raposa resolve junto, falando cada passo (temos 4, chegam mais 3, agora 5, 6, 7) e pausando para a criança completar a etapa seguinte.</t>
  </si>
  <si>
    <t xml:space="preserve">M-150-040</t>
  </si>
  <si>
    <t xml:space="preserve">Lembretes de prática locais</t>
  </si>
  <si>
    <t xml:space="preserve">Alarme interno do navegador e arquivo de agenda (.ics) para a rotina combinada (toda terça às 19h), sempre opt-in, configurado pelo adulto e respeitando o silêncio do aparelho.</t>
  </si>
  <si>
    <t xml:space="preserve">M-150-041</t>
  </si>
  <si>
    <t xml:space="preserve">Como foi a rodada?</t>
  </si>
  <si>
    <t xml:space="preserve">Ao fim da rodada, um carinha simples pergunta como foi (fácil na medida, difícil, chato) e a resposta orienta a dificuldade e os modos, além de alimentar o resumo dos responsáveis.</t>
  </si>
  <si>
    <t xml:space="preserve">M-150-042</t>
  </si>
  <si>
    <t xml:space="preserve">Certificado imprimível de marcos</t>
  </si>
  <si>
    <t xml:space="preserve">A cada grande marco (100 estrelas, 30 dias de ofensiva), gerar um certificado bonito com nome, data e medalha, pronto para imprimir e pendurar na parede.</t>
  </si>
  <si>
    <t xml:space="preserve">M-150-043</t>
  </si>
  <si>
    <t xml:space="preserve">Ciclos de foco da raposa</t>
  </si>
  <si>
    <t xml:space="preserve">Ritmo opcional de sessão (15 minutos de jogo, 5 de descanso) com aviso visual suave e sem bloqueio, para famílias que querem pausas estruturadas sem interferir em quem já se autorregula.</t>
  </si>
  <si>
    <t xml:space="preserve">M-150-044</t>
  </si>
  <si>
    <t xml:space="preserve">Modo férias</t>
  </si>
  <si>
    <t xml:space="preserve">Pacote leve para períodos de recesso: metas reduzidas, modos relaxados e desafios temáticos (viagem, praia), para manter contato com os números sem virar tarefa.</t>
  </si>
  <si>
    <t xml:space="preserve">M-150-045</t>
  </si>
  <si>
    <t xml:space="preserve">Apelidos de nível</t>
  </si>
  <si>
    <t xml:space="preserve">Níveis ganham nomes de bichos (Formiguinha, Coelhinho, Raposa, Leão, Dragão) exibidos junto ao número, criando vocabulário afetivo para a família conversar sobre o progresso.</t>
  </si>
  <si>
    <t xml:space="preserve">M-150-046</t>
  </si>
  <si>
    <t xml:space="preserve">Reviva modos esquecidos</t>
  </si>
  <si>
    <t xml:space="preserve">Detecção de modos não visitados há duas semanas ou mais com convite caloroso (a raposa sentiu falta do Dinheiro!) e bônus simbólico de retorno, mantendo o aplicativo redondo.</t>
  </si>
  <si>
    <t xml:space="preserve">M-150-047</t>
  </si>
  <si>
    <t xml:space="preserve">Duelo justo com handicap</t>
  </si>
  <si>
    <t xml:space="preserve">Em duelos entre perfis de níveis diferentes, cada jogador recebe questões do próprio nível e um ajuste de pontos, para que irmãos de idades distintas competam de verdade.</t>
  </si>
  <si>
    <t xml:space="preserve">M-150-048</t>
  </si>
  <si>
    <t xml:space="preserve">Sugestor de senha amigável</t>
  </si>
  <si>
    <t xml:space="preserve">No onboarding do portão, botão que sugere senhas memoráveis em português (raposa-laranja-27) geradas localmente, reduzindo senhas fracas tipo 1234 sem complicar.</t>
  </si>
  <si>
    <t xml:space="preserve">M-150-049</t>
  </si>
  <si>
    <t xml:space="preserve">Número relâmpago</t>
  </si>
  <si>
    <t xml:space="preserve">Treino de memória de trabalho: um número aparece por um segundo, some, e a criança aponta qual era (depois: qual era 2 a mais?), intensidade ajustável por perfil.</t>
  </si>
  <si>
    <t xml:space="preserve">M-150-050</t>
  </si>
  <si>
    <t xml:space="preserve">Modo bilíngue na tela</t>
  </si>
  <si>
    <t xml:space="preserve">Rótulos essenciais mostrados em dois idiomas ao mesmo tempo (o segundo em letra menor abaixo do principal) para escolas bilíngues e famílias alfabetizando em duas línguas.</t>
  </si>
  <si>
    <t xml:space="preserve">Melhorias de baixo impacto — 50 itens inéditos</t>
  </si>
  <si>
    <t xml:space="preserve">B-150-001</t>
  </si>
  <si>
    <t xml:space="preserve">Numpad físico mapeado</t>
  </si>
  <si>
    <t xml:space="preserve">Garantir que as teclas do teclado numérico do notebook (0-9 e Enter) respondam igualmente às teclas da linha de cima nas respostas digitáveis.</t>
  </si>
  <si>
    <t xml:space="preserve">B-150-002</t>
  </si>
  <si>
    <t xml:space="preserve">Telas ultra-wide</t>
  </si>
  <si>
    <t xml:space="preserve">Ajuste de largura máxima do contêiner principal para monitores ultralargos, evitando cartões esticados demais e mantendo o jogo centralizado e confortável.</t>
  </si>
  <si>
    <t xml:space="preserve">B-150-003</t>
  </si>
  <si>
    <t xml:space="preserve">Margem segura para notch</t>
  </si>
  <si>
    <t xml:space="preserve">Respeitar safe-area-inset em telas recortadas e no modo tela cheia de tablets, para que nada fique escondido atrás de câmeras ou bordas do aparelho.</t>
  </si>
  <si>
    <t xml:space="preserve">B-150-004</t>
  </si>
  <si>
    <t xml:space="preserve">Título da aba dinâmico</t>
  </si>
  <si>
    <t xml:space="preserve">O título da janela mostra o momento (12 estrelas · Conta Comigo, ou Pausado · Conta Comigo), ajudando a achar a janela certa entre muitas abas abertas.</t>
  </si>
  <si>
    <t xml:space="preserve">B-150-005</t>
  </si>
  <si>
    <t xml:space="preserve">Layout compacto 1366px</t>
  </si>
  <si>
    <t xml:space="preserve">Preset de espaçamentos para notebooks comuns de 1366x768, garantindo que a tela inicial e o jogo caibam sem rolagem em uma das telas mais usadas nas escolas.</t>
  </si>
  <si>
    <t xml:space="preserve">B-150-006</t>
  </si>
  <si>
    <t xml:space="preserve">Overlay de atalhos (tecla ?)</t>
  </si>
  <si>
    <t xml:space="preserve">Pressionar ? abre um cartão com todos os atalhos de teclado organizados por grupo, acessível também por um botão discreto nas opções.</t>
  </si>
  <si>
    <t xml:space="preserve">B-150-007</t>
  </si>
  <si>
    <t xml:space="preserve">ESC fecha overlays</t>
  </si>
  <si>
    <t xml:space="preserve">Tecla ESC fecha qualquer sobreposição aberta (fim de rodada, dica, loja), comportamento padrão esperado por quem navega com o teclado.</t>
  </si>
  <si>
    <t xml:space="preserve">B-150-008</t>
  </si>
  <si>
    <t xml:space="preserve">Busca de modos na home</t>
  </si>
  <si>
    <t xml:space="preserve">Campo discreto de busca que filtra os cartões de modo enquanto se digita (escrever dino já aponta para os modos de bicho), útil à medida que a lista crescer.</t>
  </si>
  <si>
    <t xml:space="preserve">B-150-009</t>
  </si>
  <si>
    <t xml:space="preserve">Trocar perfil por teclado</t>
  </si>
  <si>
    <t xml:space="preserve">Ctrl+1 a Ctrl+4 alternam diretamente entre os perfis com aviso rápido de confirmação, para famílias que dividem o mesmo aparelho em sequência.</t>
  </si>
  <si>
    <t xml:space="preserve">B-150-010</t>
  </si>
  <si>
    <t xml:space="preserve">Grade 3 colunas em telas médias</t>
  </si>
  <si>
    <t xml:space="preserve">Nos monitores entre 700 e 1000 pixels, a grade de modos usa 3 colunas equilibradas em vez de 2 ou 6, evitando cartões gigantes ou espremidos.</t>
  </si>
  <si>
    <t xml:space="preserve">B-150-011</t>
  </si>
  <si>
    <t xml:space="preserve">Scroll suave no painel</t>
  </si>
  <si>
    <t xml:space="preserve">Rolagem com transição calma nas opções e no painel, evitando saltos bruscos ao alternar seções e mantendo a posição atual ao fechar cartões.</t>
  </si>
  <si>
    <t xml:space="preserve">B-150-012</t>
  </si>
  <si>
    <t xml:space="preserve">Números tabulares nos placares</t>
  </si>
  <si>
    <t xml:space="preserve">Usar dígitos de largura fixa nos contadores de pontos e estrelas para que os números não dancem de lado ao atualizar durante o jogo.</t>
  </si>
  <si>
    <t xml:space="preserve">B-150-013</t>
  </si>
  <si>
    <t xml:space="preserve">Nível no título da janela</t>
  </si>
  <si>
    <t xml:space="preserve">Ao subir de nível durante o jogo, o título da janela acompanha (Nível 3 · Conta Comigo), detalhe que ajuda as famílias a acompanharem de longe.</t>
  </si>
  <si>
    <t xml:space="preserve">B-150-014</t>
  </si>
  <si>
    <t xml:space="preserve">Dica por inatividade gentil</t>
  </si>
  <si>
    <t xml:space="preserve">Depois de 30 segundos parado numa questão, a raposa oferece uma dica leve por voz (vamos contar juntos?), sem pontuar negativamente e com limite de vezes.</t>
  </si>
  <si>
    <t xml:space="preserve">B-150-015</t>
  </si>
  <si>
    <t xml:space="preserve">Velocidade das animações</t>
  </si>
  <si>
    <t xml:space="preserve">Um único controle (0,5x a 1,5x) que acelera ou desacelera transições e confetes de forma global, para quem acha o jogo lento ou muito agitado.</t>
  </si>
  <si>
    <t xml:space="preserve">B-150-016</t>
  </si>
  <si>
    <t xml:space="preserve">Layout das respostas (2x2 ou 1x4)</t>
  </si>
  <si>
    <t xml:space="preserve">Escolher se as quatro respostas aparecem em grade quadrada ou em fileira, com memorização por perfil, respeitando preferências visuais e de alcance do braço.</t>
  </si>
  <si>
    <t xml:space="preserve">B-150-017</t>
  </si>
  <si>
    <t xml:space="preserve">Renomear modos</t>
  </si>
  <si>
    <t xml:space="preserve">A família pode dar apelidos aos modos (Somar vira Conta das balas), que aparecem nos cartões da tela inicial para aproximar o vocabulário da criança.</t>
  </si>
  <si>
    <t xml:space="preserve">B-150-018</t>
  </si>
  <si>
    <t xml:space="preserve">Questões por rodada configurável</t>
  </si>
  <si>
    <t xml:space="preserve">Escolher 3, 5 ou 8 questões por rodada nas preferências, mantendo 5 como padrão, para sessões curtas de atenção limitada ou treinos mais longos.</t>
  </si>
  <si>
    <t xml:space="preserve">B-150-019</t>
  </si>
  <si>
    <t xml:space="preserve">Sliders de volume separados</t>
  </si>
  <si>
    <t xml:space="preserve">Além dos ligar/desligar por tipo, controles independentes de narração, efeitos e ambiente, com teste ao vivo ao arrastar cada um deles.</t>
  </si>
  <si>
    <t xml:space="preserve">B-150-020</t>
  </si>
  <si>
    <t xml:space="preserve">Cadeado que treme ao errar</t>
  </si>
  <si>
    <t xml:space="preserve">Feedback visual honesto no portão dos responsáveis: o cadeado balança e pisca vermelho ao recusar a senha, sem som agudo, deixando claro que a tentativa não foi aceita.</t>
  </si>
  <si>
    <t xml:space="preserve">B-150-021</t>
  </si>
  <si>
    <t xml:space="preserve">Registro de acesso dos responsáveis</t>
  </si>
  <si>
    <t xml:space="preserve">No cartão de segurança, mostrar a data da última entrada bem-sucedida no portão, ajudando o adulto a perceber acessos inesperados ao painel.</t>
  </si>
  <si>
    <t xml:space="preserve">B-150-022</t>
  </si>
  <si>
    <t xml:space="preserve">Sugestão de melhor horário</t>
  </si>
  <si>
    <t xml:space="preserve">Com base no histórico, o painel nota o horário de prática mais frequente e sugere encaixar o lembrete perto dele (você costuma jogar às 18h30).</t>
  </si>
  <si>
    <t xml:space="preserve">B-150-023</t>
  </si>
  <si>
    <t xml:space="preserve">Dias desde a instalação</t>
  </si>
  <si>
    <t xml:space="preserve">Contador de companheirismo no painel (há 47 dias nessa jornada) com a data de instalação guardada no perfil, sem qualquer tom de cobrança.</t>
  </si>
  <si>
    <t xml:space="preserve">B-150-024</t>
  </si>
  <si>
    <t xml:space="preserve">Última jogada no perfil</t>
  </si>
  <si>
    <t xml:space="preserve">O popover de perfis mostra o dia da última partida de cada jogador (hoje, ontem, há 3 dias), facilitando a rodada da vez em casas com mais de uma criança.</t>
  </si>
  <si>
    <t xml:space="preserve">B-150-025</t>
  </si>
  <si>
    <t xml:space="preserve">Maior combo no painel</t>
  </si>
  <si>
    <t xml:space="preserve">Estrelinha de recorde de combo (sequência de acertos de primeira) ao lado das demais estatísticas, com a data do feito para um orgulho duradouro.</t>
  </si>
  <si>
    <t xml:space="preserve">B-150-026</t>
  </si>
  <si>
    <t xml:space="preserve">Lembrete mensal de backup</t>
  </si>
  <si>
    <t xml:space="preserve">Uma vez por mês, um aviso gentil no painel sugere exportar o progresso, com botão que faz o export em dois toques e opção de silenciar por seis meses.</t>
  </si>
  <si>
    <t xml:space="preserve">B-150-027</t>
  </si>
  <si>
    <t xml:space="preserve">Balão com efeito máquina de escrever</t>
  </si>
  <si>
    <t xml:space="preserve">O texto do balão da raposa aparece letra por letra com som suave de tique (desligável), dando vida à fala sem atrasar a leitura.</t>
  </si>
  <si>
    <t xml:space="preserve">B-150-028</t>
  </si>
  <si>
    <t xml:space="preserve">Adereços no duelo</t>
  </si>
  <si>
    <t xml:space="preserve">Os avatares dos dois jogadores do duelo usam os chapéus e óculos comprados na loja, levando a personalidade de cada criança para a competição.</t>
  </si>
  <si>
    <t xml:space="preserve">B-150-029</t>
  </si>
  <si>
    <t xml:space="preserve">Coração no balão</t>
  </si>
  <si>
    <t xml:space="preserve">Ao acertar de primeira, um coraçãozinho pequeno sobe do balão da raposa junto com o +2, reforçando carinho no melhor resultado sem virar confete.</t>
  </si>
  <si>
    <t xml:space="preserve">B-150-030</t>
  </si>
  <si>
    <t xml:space="preserve">Transição de retorno com zoom</t>
  </si>
  <si>
    <t xml:space="preserve">Voltar da rodada para a tela inicial com um zoom suave para trás, conectando as telas e dando a sensação de um espaço contínuo.</t>
  </si>
  <si>
    <t xml:space="preserve">B-150-031</t>
  </si>
  <si>
    <t xml:space="preserve">Ícone do modo no balão</t>
  </si>
  <si>
    <t xml:space="preserve">O balão da raposa exibe o ícone do modo atual ao lado do texto (moeda no Dinheiro, relógio nas Horas), ancorando visualmente o contexto da fala.</t>
  </si>
  <si>
    <t xml:space="preserve">B-150-032</t>
  </si>
  <si>
    <t xml:space="preserve">Raposa dorme na espera</t>
  </si>
  <si>
    <t xml:space="preserve">Depois de 2 minutos parados na tela inicial, a mascote boceja e dorme (zZz suaves) e acorda alegre ao primeiro toque, detalhe encantador de vida no app.</t>
  </si>
  <si>
    <t xml:space="preserve">B-150-033</t>
  </si>
  <si>
    <t xml:space="preserve">Tick sonoro de tecla</t>
  </si>
  <si>
    <t xml:space="preserve">Som curtinho e calmo ao navegar as respostas com o teclado, feedback para quem não enxerga o foco se mover, desligável junto com os efeitos.</t>
  </si>
  <si>
    <t xml:space="preserve">B-150-034</t>
  </si>
  <si>
    <t xml:space="preserve">Abertura pulável</t>
  </si>
  <si>
    <t xml:space="preserve">Animação curta de entrada com a raposa correndo (dois segundos) que roda só na primeira abertura do dia e é sempre ignorável com um toque.</t>
  </si>
  <si>
    <t xml:space="preserve">B-150-035</t>
  </si>
  <si>
    <t xml:space="preserve">Carinho na raposa</t>
  </si>
  <si>
    <t xml:space="preserve">Ficar dois segundos com o dedo sobre a mascote dispara um carinho (corações e ronronar suave), um mimo escondido que recompensa afeto e atenção.</t>
  </si>
  <si>
    <t xml:space="preserve">B-150-036</t>
  </si>
  <si>
    <t xml:space="preserve">Sons sazonais</t>
  </si>
  <si>
    <t xml:space="preserve">Efeitos discretos por época do ano (grilos no inverno, fogos no réveillon, chuva em abril) ativados automaticamente no tema atual e desligáveis nas opções.</t>
  </si>
  <si>
    <t xml:space="preserve">B-150-037</t>
  </si>
  <si>
    <t xml:space="preserve">Bandeira do idioma no chip</t>
  </si>
  <si>
    <t xml:space="preserve">O chip de idioma exibe a bandeirinha do idioma ativo, leitura imediata para famílias multilíngues que alternam entre português, inglês e espanhol.</t>
  </si>
  <si>
    <t xml:space="preserve">B-150-038</t>
  </si>
  <si>
    <t xml:space="preserve">Tamanho do texto do balão</t>
  </si>
  <si>
    <t xml:space="preserve">Escolher entre três tamanhos para a fala da raposa (pequeno, normal, grande), ajudando leitores iniciantes e adaptações visuais individuais.</t>
  </si>
  <si>
    <t xml:space="preserve">B-150-039</t>
  </si>
  <si>
    <t xml:space="preserve">Passe o mouse para ouvir</t>
  </si>
  <si>
    <t xml:space="preserve">No desktop, passar o cursor sobre um objeto ou resposta faz a raposa sussurrar o número (com pequeno atraso anti-ruído), apoio extra para pré-leitores.</t>
  </si>
  <si>
    <t xml:space="preserve">B-150-040</t>
  </si>
  <si>
    <t xml:space="preserve">Seguir o sistema</t>
  </si>
  <si>
    <t xml:space="preserve">Opção de tema e contraste que espelham automaticamente a preferência do aparelho (claro, escuro, alto contraste), incluindo troca ao vivo quando o sistema muda.</t>
  </si>
  <si>
    <t xml:space="preserve">B-150-041</t>
  </si>
  <si>
    <t xml:space="preserve">Retry automático de voz</t>
  </si>
  <si>
    <t xml:space="preserve">Se a síntese falhar (voz removida, erro do motor), tentar a próxima voz compatível automaticamente e avisar só se todas falharem, em vez de simplesmente calar.</t>
  </si>
  <si>
    <t xml:space="preserve">B-150-042</t>
  </si>
  <si>
    <t xml:space="preserve">Paginação do mural</t>
  </si>
  <si>
    <t xml:space="preserve">Dividir o mural de conquistas em páginas de 8 cartões com bolinhas de navegação, mantendo o espírito de vitrine sem virar uma parede infinita.</t>
  </si>
  <si>
    <t xml:space="preserve">B-150-043</t>
  </si>
  <si>
    <t xml:space="preserve">Atalho de revisão pós-rodada</t>
  </si>
  <si>
    <t xml:space="preserve">Quando a rodada termina com 2 ou mais erros, o cartão final ganha o botão Revisar erros agora, que abre direto a fila de revisão daquele conteúdo.</t>
  </si>
  <si>
    <t xml:space="preserve">B-150-044</t>
  </si>
  <si>
    <t xml:space="preserve">Botão repetir rodada no fim</t>
  </si>
  <si>
    <t xml:space="preserve">No cartão final, um botão secundário de jogar de novo com as mesmas configurações, sem voltar à tela inicial, encurtando o ciclo de prática.</t>
  </si>
  <si>
    <t xml:space="preserve">B-150-045</t>
  </si>
  <si>
    <t xml:space="preserve">Contagem por vibração</t>
  </si>
  <si>
    <t xml:space="preserve">Nos aparelhos compatíveis, cada item contado dispara uma vibração curtinha (uma por objeto), criando a correspondência tátil um-para-um para quem conta pelo toque e pela audição.</t>
  </si>
  <si>
    <t xml:space="preserve">B-150-046</t>
  </si>
  <si>
    <t xml:space="preserve">Ícone 512px e versão mono</t>
  </si>
  <si>
    <t xml:space="preserve">Gerar ícone em 512 pixels para lojas que aceitam o tamanho maior e uma versão monocromática para barras de sistema que exigem ícone de contorno.</t>
  </si>
  <si>
    <t xml:space="preserve">B-150-047</t>
  </si>
  <si>
    <t xml:space="preserve">Pedir avaliação com educação</t>
  </si>
  <si>
    <t xml:space="preserve">Depois de marcos positivos (nunca após erros), um cartão discreto convida a avaliar a extensão na loja, com opção de nunca mostrar de novo.</t>
  </si>
  <si>
    <t xml:space="preserve">B-150-048</t>
  </si>
  <si>
    <t xml:space="preserve">Nota de acessibilidade na listagem</t>
  </si>
  <si>
    <t xml:space="preserve">Incluir na descrição da loja (e no guia de publicação) um resumo honesto dos recursos de acessibilidade e dos limites atuais, orientando famílias antes de instalar.</t>
  </si>
  <si>
    <t xml:space="preserve">B-150-049</t>
  </si>
  <si>
    <t xml:space="preserve">Capturas da loja em HiDPI</t>
  </si>
  <si>
    <t xml:space="preserve">Script de capturas rodando com proporção de pixel 2 para imagens de listagem mais nítidas, atualizando o kit de publicação junto com cada versão.</t>
  </si>
  <si>
    <t xml:space="preserve">B-150-050</t>
  </si>
  <si>
    <t xml:space="preserve">Parâmetros de depuração na URL</t>
  </si>
  <si>
    <t xml:space="preserve">Modo de teste por endereço (nivel=3, modo=somar, sem tempo) para acessar estados específicos sem navegar manualmente, acelerando o QA e as demonstrações.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</si>
</sst>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B85C1E"/>
      <name val="Noto Sans CJK SC"/>
      <family val="0"/>
      <charset val="1"/>
    </font>
    <font>
      <sz val="9"/>
      <color rgb="FF9C8B78"/>
      <name val="Noto Sans CJK SC"/>
      <family val="0"/>
      <charset val="1"/>
    </font>
    <font>
      <sz val="11"/>
      <color rgb="FFFFFFFF"/>
      <name val="Noto Sans CJK SC"/>
      <family val="0"/>
      <charset val="1"/>
    </font>
    <font>
      <sz val="11"/>
      <color rgb="FF3E2F1F"/>
      <name val="Noto Sans CJK SC"/>
      <family val="0"/>
      <charset val="1"/>
    </font>
    <font>
      <sz val="11"/>
      <color rgb="FFB85C1E"/>
      <name val="Noto Sans CJK SC"/>
      <family val="0"/>
      <charset val="1"/>
    </font>
    <font>
      <sz val="10"/>
      <color rgb="FF9C8B78"/>
      <name val="Noto Sans CJK SC"/>
      <family val="0"/>
      <charset val="1"/>
    </font>
    <font>
      <b val="true"/>
      <sz val="11"/>
      <color rgb="FF3E2F1F"/>
      <name val="Noto Sans CJK SC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B85C1E"/>
        <bgColor rgb="FFFF6600"/>
      </patternFill>
    </fill>
    <fill>
      <patternFill patternType="solid">
        <fgColor rgb="FFFFFFFF"/>
        <bgColor rgb="FFF7F2EC"/>
      </patternFill>
    </fill>
    <fill>
      <patternFill patternType="solid">
        <fgColor rgb="FFF7F2EC"/>
        <bgColor rgb="FFF5E6D5"/>
      </patternFill>
    </fill>
    <fill>
      <patternFill patternType="solid">
        <fgColor rgb="FFF5E6D5"/>
        <bgColor rgb="FFEAE0D5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AE0D5"/>
      </bottom>
      <diagonal/>
    </border>
    <border diagonalUp="false" diagonalDown="false">
      <left/>
      <right/>
      <top style="medium">
        <color rgb="FFEAE0D5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B85C1E"/>
          <bgColor rgb="FF000000"/>
        </patternFill>
      </fill>
    </dxf>
    <dxf>
      <fill>
        <patternFill patternType="solid">
          <fgColor rgb="FFF7F2E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C8B78"/>
          <bgColor rgb="FF000000"/>
        </patternFill>
      </fill>
    </dxf>
    <dxf>
      <fill>
        <patternFill patternType="solid">
          <fgColor rgb="FF3E2F1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2EC"/>
      <rgbColor rgb="FFCCFFFF"/>
      <rgbColor rgb="FF660066"/>
      <rgbColor rgb="FFFF8080"/>
      <rgbColor rgb="FF0066CC"/>
      <rgbColor rgb="FFEAE0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5E6D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C8B78"/>
      <rgbColor rgb="FF003366"/>
      <rgbColor rgb="FF339966"/>
      <rgbColor rgb="FF003300"/>
      <rgbColor rgb="FF333300"/>
      <rgbColor rgb="FFB85C1E"/>
      <rgbColor rgb="FF993366"/>
      <rgbColor rgb="FF333399"/>
      <rgbColor rgb="FF3E2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E7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"/>
    <col collapsed="false" customWidth="true" hidden="false" outlineLevel="0" max="3" min="3" style="0" width="36"/>
    <col collapsed="false" customWidth="true" hidden="false" outlineLevel="0" max="4" min="4" style="0" width="12"/>
    <col collapsed="false" customWidth="true" hidden="false" outlineLevel="0" max="5" min="5" style="0" width="24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0</v>
      </c>
      <c r="C2" s="1"/>
      <c r="D2" s="1"/>
      <c r="E2" s="1"/>
    </row>
    <row r="3" customFormat="false" ht="7.5" hidden="false" customHeight="true" outlineLevel="0" collapsed="false"/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2" t="s">
        <v>2</v>
      </c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 t="s">
        <v>4</v>
      </c>
    </row>
    <row r="8" customFormat="false" ht="15" hidden="false" customHeight="false" outlineLevel="0" collapsed="false">
      <c r="B8" s="2" t="s">
        <v>5</v>
      </c>
    </row>
    <row r="9" customFormat="false" ht="15" hidden="false" customHeight="false" outlineLevel="0" collapsed="false">
      <c r="B9" s="2" t="s">
        <v>6</v>
      </c>
    </row>
    <row r="10" customFormat="false" ht="15" hidden="false" customHeight="false" outlineLevel="0" collapsed="false">
      <c r="B10" s="2" t="s">
        <v>7</v>
      </c>
    </row>
    <row r="12" customFormat="false" ht="27.75" hidden="false" customHeight="true" outlineLevel="0" collapsed="false">
      <c r="B12" s="3" t="s">
        <v>8</v>
      </c>
      <c r="C12" s="3" t="s">
        <v>9</v>
      </c>
      <c r="D12" s="3" t="s">
        <v>10</v>
      </c>
      <c r="E12" s="3" t="s">
        <v>11</v>
      </c>
    </row>
    <row r="13" customFormat="false" ht="21.75" hidden="false" customHeight="true" outlineLevel="0" collapsed="false">
      <c r="B13" s="4" t="s">
        <v>12</v>
      </c>
      <c r="C13" s="5" t="n">
        <f aca="false">COUNTA('Alto impacto (50)'!B5:B54)</f>
        <v>50</v>
      </c>
      <c r="D13" s="5" t="n">
        <v>8</v>
      </c>
      <c r="E13" s="4" t="s">
        <v>13</v>
      </c>
    </row>
    <row r="14" customFormat="false" ht="21.75" hidden="false" customHeight="true" outlineLevel="0" collapsed="false">
      <c r="B14" s="6" t="s">
        <v>14</v>
      </c>
      <c r="C14" s="7" t="n">
        <f aca="false">COUNTA('Médio impacto (50)'!B5:B54)</f>
        <v>50</v>
      </c>
      <c r="D14" s="7" t="n">
        <v>13</v>
      </c>
      <c r="E14" s="6" t="s">
        <v>15</v>
      </c>
    </row>
    <row r="15" customFormat="false" ht="21.75" hidden="false" customHeight="true" outlineLevel="0" collapsed="false">
      <c r="B15" s="4" t="s">
        <v>16</v>
      </c>
      <c r="C15" s="5" t="n">
        <f aca="false">COUNTA('Baixo impacto (50)'!B5:B54)</f>
        <v>50</v>
      </c>
      <c r="D15" s="5" t="n">
        <v>12</v>
      </c>
      <c r="E15" s="4" t="s">
        <v>17</v>
      </c>
    </row>
    <row r="16" customFormat="false" ht="25.5" hidden="false" customHeight="true" outlineLevel="0" collapsed="false">
      <c r="B16" s="8" t="s">
        <v>18</v>
      </c>
      <c r="C16" s="9" t="n">
        <f aca="false">SUM(C13:C15)</f>
        <v>150</v>
      </c>
      <c r="D16" s="9" t="n">
        <v>33</v>
      </c>
      <c r="E16" s="8"/>
    </row>
    <row r="18" customFormat="false" ht="15" hidden="false" customHeight="false" outlineLevel="0" collapsed="false">
      <c r="B18" s="10" t="s">
        <v>19</v>
      </c>
    </row>
    <row r="19" customFormat="false" ht="27.75" hidden="false" customHeight="true" outlineLevel="0" collapsed="false">
      <c r="B19" s="3" t="s">
        <v>20</v>
      </c>
      <c r="C19" s="3" t="s">
        <v>12</v>
      </c>
      <c r="D19" s="3" t="s">
        <v>14</v>
      </c>
      <c r="E19" s="3" t="s">
        <v>16</v>
      </c>
    </row>
    <row r="20" customFormat="false" ht="21.75" hidden="false" customHeight="true" outlineLevel="0" collapsed="false">
      <c r="B20" s="4" t="s">
        <v>21</v>
      </c>
      <c r="C20" s="5" t="n">
        <f aca="false">COUNTIF('Alto impacto (50)'!F5:F54,"Pequeno")</f>
        <v>11</v>
      </c>
      <c r="D20" s="5" t="n">
        <f aca="false">COUNTIF('Médio impacto (50)'!F5:F54,"Pequeno")</f>
        <v>29</v>
      </c>
      <c r="E20" s="5" t="n">
        <f aca="false">COUNTIF('Baixo impacto (50)'!F5:F54,"Pequeno")</f>
        <v>50</v>
      </c>
    </row>
    <row r="21" customFormat="false" ht="21.75" hidden="false" customHeight="true" outlineLevel="0" collapsed="false">
      <c r="B21" s="6" t="s">
        <v>14</v>
      </c>
      <c r="C21" s="7" t="n">
        <f aca="false">COUNTIF('Alto impacto (50)'!F5:F54,"Médio")</f>
        <v>34</v>
      </c>
      <c r="D21" s="7" t="n">
        <f aca="false">COUNTIF('Médio impacto (50)'!F5:F54,"Médio")</f>
        <v>21</v>
      </c>
      <c r="E21" s="7" t="n">
        <f aca="false">COUNTIF('Baixo impacto (50)'!F5:F54,"Médio")</f>
        <v>0</v>
      </c>
    </row>
    <row r="22" customFormat="false" ht="21.75" hidden="false" customHeight="true" outlineLevel="0" collapsed="false">
      <c r="B22" s="4" t="s">
        <v>22</v>
      </c>
      <c r="C22" s="5" t="n">
        <f aca="false">COUNTIF('Alto impacto (50)'!F5:F54,"Grande")</f>
        <v>5</v>
      </c>
      <c r="D22" s="5" t="n">
        <f aca="false">COUNTIF('Médio impacto (50)'!F5:F54,"Grande")</f>
        <v>0</v>
      </c>
      <c r="E22" s="5" t="n">
        <f aca="false">COUNTIF('Baixo impacto (50)'!F5:F54,"Grande")</f>
        <v>0</v>
      </c>
    </row>
    <row r="23" customFormat="false" ht="25.5" hidden="false" customHeight="true" outlineLevel="0" collapsed="false">
      <c r="B23" s="8" t="s">
        <v>18</v>
      </c>
      <c r="C23" s="9" t="n">
        <f aca="false">SUM(C20:C22)</f>
        <v>50</v>
      </c>
      <c r="D23" s="9" t="n">
        <f aca="false">SUM(D20:D22)</f>
        <v>50</v>
      </c>
      <c r="E23" s="9" t="n">
        <f aca="false">SUM(E20:E22)</f>
        <v>50</v>
      </c>
    </row>
    <row r="25" customFormat="false" ht="15" hidden="false" customHeight="false" outlineLevel="0" collapsed="false">
      <c r="B25" s="10" t="s">
        <v>23</v>
      </c>
    </row>
    <row r="26" customFormat="false" ht="27.75" hidden="false" customHeight="true" outlineLevel="0" collapsed="false">
      <c r="B26" s="3" t="s">
        <v>24</v>
      </c>
      <c r="C26" s="3" t="s">
        <v>25</v>
      </c>
      <c r="D26" s="3" t="s">
        <v>20</v>
      </c>
    </row>
    <row r="27" customFormat="false" ht="21.75" hidden="false" customHeight="true" outlineLevel="0" collapsed="false">
      <c r="B27" s="5" t="s">
        <v>26</v>
      </c>
      <c r="C27" s="4" t="s">
        <v>27</v>
      </c>
      <c r="D27" s="5" t="s">
        <v>14</v>
      </c>
    </row>
    <row r="28" customFormat="false" ht="21.75" hidden="false" customHeight="true" outlineLevel="0" collapsed="false">
      <c r="B28" s="7" t="s">
        <v>28</v>
      </c>
      <c r="C28" s="6" t="s">
        <v>29</v>
      </c>
      <c r="D28" s="7" t="s">
        <v>21</v>
      </c>
    </row>
    <row r="29" customFormat="false" ht="21.75" hidden="false" customHeight="true" outlineLevel="0" collapsed="false">
      <c r="B29" s="5" t="s">
        <v>30</v>
      </c>
      <c r="C29" s="4" t="s">
        <v>31</v>
      </c>
      <c r="D29" s="5" t="s">
        <v>14</v>
      </c>
    </row>
    <row r="30" customFormat="false" ht="21.75" hidden="false" customHeight="true" outlineLevel="0" collapsed="false">
      <c r="B30" s="7" t="s">
        <v>32</v>
      </c>
      <c r="C30" s="6" t="s">
        <v>33</v>
      </c>
      <c r="D30" s="7" t="s">
        <v>21</v>
      </c>
    </row>
    <row r="31" customFormat="false" ht="21.75" hidden="false" customHeight="true" outlineLevel="0" collapsed="false">
      <c r="B31" s="5" t="s">
        <v>34</v>
      </c>
      <c r="C31" s="4" t="s">
        <v>35</v>
      </c>
      <c r="D31" s="5" t="s">
        <v>21</v>
      </c>
    </row>
    <row r="32" customFormat="false" ht="21.75" hidden="false" customHeight="true" outlineLevel="0" collapsed="false">
      <c r="B32" s="7" t="s">
        <v>36</v>
      </c>
      <c r="C32" s="6" t="s">
        <v>37</v>
      </c>
      <c r="D32" s="7" t="s">
        <v>14</v>
      </c>
    </row>
    <row r="33" customFormat="false" ht="21.75" hidden="false" customHeight="true" outlineLevel="0" collapsed="false">
      <c r="B33" s="5" t="s">
        <v>38</v>
      </c>
      <c r="C33" s="4" t="s">
        <v>39</v>
      </c>
      <c r="D33" s="5" t="s">
        <v>14</v>
      </c>
    </row>
    <row r="34" customFormat="false" ht="21.75" hidden="false" customHeight="true" outlineLevel="0" collapsed="false">
      <c r="B34" s="7" t="s">
        <v>40</v>
      </c>
      <c r="C34" s="6" t="s">
        <v>41</v>
      </c>
      <c r="D34" s="7" t="s">
        <v>14</v>
      </c>
    </row>
    <row r="35" customFormat="false" ht="21.75" hidden="false" customHeight="true" outlineLevel="0" collapsed="false">
      <c r="B35" s="5" t="s">
        <v>42</v>
      </c>
      <c r="C35" s="4" t="s">
        <v>43</v>
      </c>
      <c r="D35" s="5" t="s">
        <v>21</v>
      </c>
    </row>
    <row r="36" customFormat="false" ht="21.75" hidden="false" customHeight="true" outlineLevel="0" collapsed="false">
      <c r="B36" s="7" t="s">
        <v>44</v>
      </c>
      <c r="C36" s="6" t="s">
        <v>45</v>
      </c>
      <c r="D36" s="7" t="s">
        <v>14</v>
      </c>
    </row>
    <row r="38" customFormat="false" ht="15" hidden="false" customHeight="false" outlineLevel="0" collapsed="false">
      <c r="B38" s="10" t="s">
        <v>46</v>
      </c>
    </row>
    <row r="39" customFormat="false" ht="27.75" hidden="false" customHeight="true" outlineLevel="0" collapsed="false">
      <c r="B39" s="3" t="s">
        <v>8</v>
      </c>
      <c r="C39" s="3" t="s">
        <v>47</v>
      </c>
      <c r="D39" s="3" t="s">
        <v>9</v>
      </c>
    </row>
    <row r="40" customFormat="false" ht="21.75" hidden="false" customHeight="true" outlineLevel="0" collapsed="false">
      <c r="B40" s="4" t="s">
        <v>12</v>
      </c>
      <c r="C40" s="4" t="s">
        <v>48</v>
      </c>
      <c r="D40" s="5" t="n">
        <f aca="false">COUNTIF('Alto impacto (50)'!C5:C54,"Acessibilidade e Inclusão")</f>
        <v>5</v>
      </c>
    </row>
    <row r="41" customFormat="false" ht="21.75" hidden="false" customHeight="true" outlineLevel="0" collapsed="false">
      <c r="B41" s="6" t="s">
        <v>12</v>
      </c>
      <c r="C41" s="6" t="s">
        <v>49</v>
      </c>
      <c r="D41" s="7" t="n">
        <f aca="false">COUNTIF('Alto impacto (50)'!C5:C54,"Controle Parental e Família")</f>
        <v>2</v>
      </c>
    </row>
    <row r="42" customFormat="false" ht="21.75" hidden="false" customHeight="true" outlineLevel="0" collapsed="false">
      <c r="B42" s="4" t="s">
        <v>12</v>
      </c>
      <c r="C42" s="4" t="s">
        <v>50</v>
      </c>
      <c r="D42" s="5" t="n">
        <f aca="false">COUNTIF('Alto impacto (50)'!C5:C54,"Gamificação e Motivação")</f>
        <v>3</v>
      </c>
    </row>
    <row r="43" customFormat="false" ht="21.75" hidden="false" customHeight="true" outlineLevel="0" collapsed="false">
      <c r="B43" s="6" t="s">
        <v>12</v>
      </c>
      <c r="C43" s="6" t="s">
        <v>51</v>
      </c>
      <c r="D43" s="7" t="n">
        <f aca="false">COUNTIF('Alto impacto (50)'!C5:C54,"Modos de Jogo e Conteúdo")</f>
        <v>14</v>
      </c>
    </row>
    <row r="44" customFormat="false" ht="21.75" hidden="false" customHeight="true" outlineLevel="0" collapsed="false">
      <c r="B44" s="4" t="s">
        <v>12</v>
      </c>
      <c r="C44" s="4" t="s">
        <v>52</v>
      </c>
      <c r="D44" s="5" t="n">
        <f aca="false">COUNTIF('Alto impacto (50)'!C5:C54,"Pedagogia e Currículo")</f>
        <v>22</v>
      </c>
    </row>
    <row r="45" customFormat="false" ht="21.75" hidden="false" customHeight="true" outlineLevel="0" collapsed="false">
      <c r="B45" s="6" t="s">
        <v>12</v>
      </c>
      <c r="C45" s="6" t="s">
        <v>53</v>
      </c>
      <c r="D45" s="7" t="n">
        <f aca="false">COUNTIF('Alto impacto (50)'!C5:C54,"Plataforma e Arquitetura")</f>
        <v>1</v>
      </c>
    </row>
    <row r="46" customFormat="false" ht="21.75" hidden="false" customHeight="true" outlineLevel="0" collapsed="false">
      <c r="B46" s="4" t="s">
        <v>12</v>
      </c>
      <c r="C46" s="4" t="s">
        <v>54</v>
      </c>
      <c r="D46" s="5" t="n">
        <f aca="false">COUNTIF('Alto impacto (50)'!C5:C54,"Social Seguro")</f>
        <v>1</v>
      </c>
    </row>
    <row r="47" customFormat="false" ht="21.75" hidden="false" customHeight="true" outlineLevel="0" collapsed="false">
      <c r="B47" s="6" t="s">
        <v>12</v>
      </c>
      <c r="C47" s="6" t="s">
        <v>55</v>
      </c>
      <c r="D47" s="7" t="n">
        <f aca="false">COUNTIF('Alto impacto (50)'!C5:C54,"Voz, Som e Narração")</f>
        <v>2</v>
      </c>
    </row>
    <row r="48" customFormat="false" ht="21.75" hidden="false" customHeight="true" outlineLevel="0" collapsed="false">
      <c r="B48" s="4" t="s">
        <v>14</v>
      </c>
      <c r="C48" s="4" t="s">
        <v>48</v>
      </c>
      <c r="D48" s="5" t="n">
        <f aca="false">COUNTIF('Médio impacto (50)'!C5:C54,"Acessibilidade e Inclusão")</f>
        <v>4</v>
      </c>
    </row>
    <row r="49" customFormat="false" ht="21.75" hidden="false" customHeight="true" outlineLevel="0" collapsed="false">
      <c r="B49" s="6" t="s">
        <v>14</v>
      </c>
      <c r="C49" s="6" t="s">
        <v>56</v>
      </c>
      <c r="D49" s="7" t="n">
        <f aca="false">COUNTIF('Médio impacto (50)'!C5:C54,"Adaptatividade e IA")</f>
        <v>1</v>
      </c>
    </row>
    <row r="50" customFormat="false" ht="21.75" hidden="false" customHeight="true" outlineLevel="0" collapsed="false">
      <c r="B50" s="4" t="s">
        <v>14</v>
      </c>
      <c r="C50" s="4" t="s">
        <v>49</v>
      </c>
      <c r="D50" s="5" t="n">
        <f aca="false">COUNTIF('Médio impacto (50)'!C5:C54,"Controle Parental e Família")</f>
        <v>5</v>
      </c>
    </row>
    <row r="51" customFormat="false" ht="21.75" hidden="false" customHeight="true" outlineLevel="0" collapsed="false">
      <c r="B51" s="6" t="s">
        <v>14</v>
      </c>
      <c r="C51" s="6" t="s">
        <v>50</v>
      </c>
      <c r="D51" s="7" t="n">
        <f aca="false">COUNTIF('Médio impacto (50)'!C5:C54,"Gamificação e Motivação")</f>
        <v>2</v>
      </c>
    </row>
    <row r="52" customFormat="false" ht="21.75" hidden="false" customHeight="true" outlineLevel="0" collapsed="false">
      <c r="B52" s="4" t="s">
        <v>14</v>
      </c>
      <c r="C52" s="4" t="s">
        <v>57</v>
      </c>
      <c r="D52" s="5" t="n">
        <f aca="false">COUNTIF('Médio impacto (50)'!C5:C54,"Interface e Navegação")</f>
        <v>3</v>
      </c>
    </row>
    <row r="53" customFormat="false" ht="21.75" hidden="false" customHeight="true" outlineLevel="0" collapsed="false">
      <c r="B53" s="6" t="s">
        <v>14</v>
      </c>
      <c r="C53" s="6" t="s">
        <v>58</v>
      </c>
      <c r="D53" s="7" t="n">
        <f aca="false">COUNTIF('Médio impacto (50)'!C5:C54,"Internacionalização")</f>
        <v>1</v>
      </c>
    </row>
    <row r="54" customFormat="false" ht="21.75" hidden="false" customHeight="true" outlineLevel="0" collapsed="false">
      <c r="B54" s="4" t="s">
        <v>14</v>
      </c>
      <c r="C54" s="4" t="s">
        <v>51</v>
      </c>
      <c r="D54" s="5" t="n">
        <f aca="false">COUNTIF('Médio impacto (50)'!C5:C54,"Modos de Jogo e Conteúdo")</f>
        <v>14</v>
      </c>
    </row>
    <row r="55" customFormat="false" ht="21.75" hidden="false" customHeight="true" outlineLevel="0" collapsed="false">
      <c r="B55" s="6" t="s">
        <v>14</v>
      </c>
      <c r="C55" s="6" t="s">
        <v>52</v>
      </c>
      <c r="D55" s="7" t="n">
        <f aca="false">COUNTIF('Médio impacto (50)'!C5:C54,"Pedagogia e Currículo")</f>
        <v>11</v>
      </c>
    </row>
    <row r="56" customFormat="false" ht="21.75" hidden="false" customHeight="true" outlineLevel="0" collapsed="false">
      <c r="B56" s="4" t="s">
        <v>14</v>
      </c>
      <c r="C56" s="4" t="s">
        <v>59</v>
      </c>
      <c r="D56" s="5" t="n">
        <f aca="false">COUNTIF('Médio impacto (50)'!C5:C54,"Qualidade e Ferramentas")</f>
        <v>2</v>
      </c>
    </row>
    <row r="57" customFormat="false" ht="21.75" hidden="false" customHeight="true" outlineLevel="0" collapsed="false">
      <c r="B57" s="6" t="s">
        <v>14</v>
      </c>
      <c r="C57" s="6" t="s">
        <v>60</v>
      </c>
      <c r="D57" s="7" t="n">
        <f aca="false">COUNTIF('Médio impacto (50)'!C5:C54,"Relatórios e Acompanhamento")</f>
        <v>3</v>
      </c>
    </row>
    <row r="58" customFormat="false" ht="21.75" hidden="false" customHeight="true" outlineLevel="0" collapsed="false">
      <c r="B58" s="4" t="s">
        <v>14</v>
      </c>
      <c r="C58" s="4" t="s">
        <v>61</v>
      </c>
      <c r="D58" s="5" t="n">
        <f aca="false">COUNTIF('Médio impacto (50)'!C5:C54,"Segurança e Privacidade")</f>
        <v>1</v>
      </c>
    </row>
    <row r="59" customFormat="false" ht="21.75" hidden="false" customHeight="true" outlineLevel="0" collapsed="false">
      <c r="B59" s="6" t="s">
        <v>14</v>
      </c>
      <c r="C59" s="6" t="s">
        <v>54</v>
      </c>
      <c r="D59" s="7" t="n">
        <f aca="false">COUNTIF('Médio impacto (50)'!C5:C54,"Social Seguro")</f>
        <v>1</v>
      </c>
    </row>
    <row r="60" customFormat="false" ht="21.75" hidden="false" customHeight="true" outlineLevel="0" collapsed="false">
      <c r="B60" s="4" t="s">
        <v>14</v>
      </c>
      <c r="C60" s="4" t="s">
        <v>55</v>
      </c>
      <c r="D60" s="5" t="n">
        <f aca="false">COUNTIF('Médio impacto (50)'!C5:C54,"Voz, Som e Narração")</f>
        <v>2</v>
      </c>
    </row>
    <row r="61" customFormat="false" ht="21.75" hidden="false" customHeight="true" outlineLevel="0" collapsed="false">
      <c r="B61" s="6" t="s">
        <v>16</v>
      </c>
      <c r="C61" s="6" t="s">
        <v>48</v>
      </c>
      <c r="D61" s="7" t="n">
        <f aca="false">COUNTIF('Baixo impacto (50)'!C5:C54,"Acessibilidade e Inclusão")</f>
        <v>3</v>
      </c>
    </row>
    <row r="62" customFormat="false" ht="21.75" hidden="false" customHeight="true" outlineLevel="0" collapsed="false">
      <c r="B62" s="4" t="s">
        <v>16</v>
      </c>
      <c r="C62" s="4" t="s">
        <v>62</v>
      </c>
      <c r="D62" s="5" t="n">
        <f aca="false">COUNTIF('Baixo impacto (50)'!C5:C54,"Configurações Avançadas")</f>
        <v>5</v>
      </c>
    </row>
    <row r="63" customFormat="false" ht="21.75" hidden="false" customHeight="true" outlineLevel="0" collapsed="false">
      <c r="B63" s="6" t="s">
        <v>16</v>
      </c>
      <c r="C63" s="6" t="s">
        <v>63</v>
      </c>
      <c r="D63" s="7" t="n">
        <f aca="false">COUNTIF('Baixo impacto (50)'!C5:C54,"Diversão e Easter Eggs")</f>
        <v>2</v>
      </c>
    </row>
    <row r="64" customFormat="false" ht="21.75" hidden="false" customHeight="true" outlineLevel="0" collapsed="false">
      <c r="B64" s="4" t="s">
        <v>16</v>
      </c>
      <c r="C64" s="4" t="s">
        <v>50</v>
      </c>
      <c r="D64" s="5" t="n">
        <f aca="false">COUNTIF('Baixo impacto (50)'!C5:C54,"Gamificação e Motivação")</f>
        <v>3</v>
      </c>
    </row>
    <row r="65" customFormat="false" ht="21.75" hidden="false" customHeight="true" outlineLevel="0" collapsed="false">
      <c r="B65" s="6" t="s">
        <v>16</v>
      </c>
      <c r="C65" s="6" t="s">
        <v>57</v>
      </c>
      <c r="D65" s="7" t="n">
        <f aca="false">COUNTIF('Baixo impacto (50)'!C5:C54,"Interface e Navegação")</f>
        <v>14</v>
      </c>
    </row>
    <row r="66" customFormat="false" ht="21.75" hidden="false" customHeight="true" outlineLevel="0" collapsed="false">
      <c r="B66" s="4" t="s">
        <v>16</v>
      </c>
      <c r="C66" s="4" t="s">
        <v>53</v>
      </c>
      <c r="D66" s="5" t="n">
        <f aca="false">COUNTIF('Baixo impacto (50)'!C5:C54,"Plataforma e Arquitetura")</f>
        <v>4</v>
      </c>
    </row>
    <row r="67" customFormat="false" ht="21.75" hidden="false" customHeight="true" outlineLevel="0" collapsed="false">
      <c r="B67" s="6" t="s">
        <v>16</v>
      </c>
      <c r="C67" s="6" t="s">
        <v>64</v>
      </c>
      <c r="D67" s="7" t="n">
        <f aca="false">COUNTIF('Baixo impacto (50)'!C5:C54,"Polimento Visual")</f>
        <v>8</v>
      </c>
    </row>
    <row r="68" customFormat="false" ht="21.75" hidden="false" customHeight="true" outlineLevel="0" collapsed="false">
      <c r="B68" s="4" t="s">
        <v>16</v>
      </c>
      <c r="C68" s="4" t="s">
        <v>59</v>
      </c>
      <c r="D68" s="5" t="n">
        <f aca="false">COUNTIF('Baixo impacto (50)'!C5:C54,"Qualidade e Ferramentas")</f>
        <v>1</v>
      </c>
    </row>
    <row r="69" customFormat="false" ht="21.75" hidden="false" customHeight="true" outlineLevel="0" collapsed="false">
      <c r="B69" s="6" t="s">
        <v>16</v>
      </c>
      <c r="C69" s="6" t="s">
        <v>60</v>
      </c>
      <c r="D69" s="7" t="n">
        <f aca="false">COUNTIF('Baixo impacto (50)'!C5:C54,"Relatórios e Acompanhamento")</f>
        <v>5</v>
      </c>
    </row>
    <row r="70" customFormat="false" ht="21.75" hidden="false" customHeight="true" outlineLevel="0" collapsed="false">
      <c r="B70" s="4" t="s">
        <v>16</v>
      </c>
      <c r="C70" s="4" t="s">
        <v>61</v>
      </c>
      <c r="D70" s="5" t="n">
        <f aca="false">COUNTIF('Baixo impacto (50)'!C5:C54,"Segurança e Privacidade")</f>
        <v>2</v>
      </c>
    </row>
    <row r="71" customFormat="false" ht="21.75" hidden="false" customHeight="true" outlineLevel="0" collapsed="false">
      <c r="B71" s="6" t="s">
        <v>16</v>
      </c>
      <c r="C71" s="6" t="s">
        <v>65</v>
      </c>
      <c r="D71" s="7" t="n">
        <f aca="false">COUNTIF('Baixo impacto (50)'!C5:C54,"Temas e Cosméticos")</f>
        <v>2</v>
      </c>
    </row>
    <row r="72" customFormat="false" ht="21.75" hidden="false" customHeight="true" outlineLevel="0" collapsed="false">
      <c r="B72" s="4" t="s">
        <v>16</v>
      </c>
      <c r="C72" s="4" t="s">
        <v>55</v>
      </c>
      <c r="D72" s="5" t="n">
        <f aca="false">COUNTIF('Baixo impacto (50)'!C5:C54,"Voz, Som e Narração")</f>
        <v>1</v>
      </c>
    </row>
    <row r="74" customFormat="false" ht="15" hidden="false" customHeight="false" outlineLevel="0" collapsed="false">
      <c r="B74" s="2" t="s">
        <v>66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.5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62"/>
    <col collapsed="false" customWidth="true" hidden="false" outlineLevel="0" max="6" min="6" style="0" width="11"/>
    <col collapsed="false" customWidth="true" hidden="false" outlineLevel="0" max="7" min="7" style="0" width="14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67</v>
      </c>
      <c r="C2" s="1"/>
      <c r="D2" s="1"/>
      <c r="E2" s="1"/>
      <c r="F2" s="1"/>
      <c r="G2" s="1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24</v>
      </c>
      <c r="C4" s="3" t="s">
        <v>47</v>
      </c>
      <c r="D4" s="3" t="s">
        <v>25</v>
      </c>
      <c r="E4" s="3" t="s">
        <v>68</v>
      </c>
      <c r="F4" s="3" t="s">
        <v>20</v>
      </c>
      <c r="G4" s="3" t="s">
        <v>69</v>
      </c>
    </row>
    <row r="5" customFormat="false" ht="63.75" hidden="false" customHeight="true" outlineLevel="0" collapsed="false">
      <c r="B5" s="11" t="s">
        <v>26</v>
      </c>
      <c r="C5" s="12" t="s">
        <v>52</v>
      </c>
      <c r="D5" s="13" t="s">
        <v>27</v>
      </c>
      <c r="E5" s="14" t="s">
        <v>70</v>
      </c>
      <c r="F5" s="5" t="s">
        <v>14</v>
      </c>
      <c r="G5" s="5" t="s">
        <v>71</v>
      </c>
    </row>
    <row r="6" customFormat="false" ht="49.5" hidden="false" customHeight="true" outlineLevel="0" collapsed="false">
      <c r="B6" s="15" t="s">
        <v>28</v>
      </c>
      <c r="C6" s="16" t="s">
        <v>52</v>
      </c>
      <c r="D6" s="17" t="s">
        <v>29</v>
      </c>
      <c r="E6" s="18" t="s">
        <v>72</v>
      </c>
      <c r="F6" s="7" t="s">
        <v>21</v>
      </c>
      <c r="G6" s="7" t="s">
        <v>71</v>
      </c>
    </row>
    <row r="7" customFormat="false" ht="63.75" hidden="false" customHeight="true" outlineLevel="0" collapsed="false">
      <c r="B7" s="11" t="s">
        <v>30</v>
      </c>
      <c r="C7" s="12" t="s">
        <v>52</v>
      </c>
      <c r="D7" s="13" t="s">
        <v>31</v>
      </c>
      <c r="E7" s="14" t="s">
        <v>73</v>
      </c>
      <c r="F7" s="5" t="s">
        <v>14</v>
      </c>
      <c r="G7" s="5" t="s">
        <v>74</v>
      </c>
    </row>
    <row r="8" customFormat="false" ht="49.5" hidden="false" customHeight="true" outlineLevel="0" collapsed="false">
      <c r="B8" s="15" t="s">
        <v>32</v>
      </c>
      <c r="C8" s="16" t="s">
        <v>52</v>
      </c>
      <c r="D8" s="17" t="s">
        <v>33</v>
      </c>
      <c r="E8" s="18" t="s">
        <v>75</v>
      </c>
      <c r="F8" s="7" t="s">
        <v>21</v>
      </c>
      <c r="G8" s="7" t="s">
        <v>71</v>
      </c>
    </row>
    <row r="9" customFormat="false" ht="49.5" hidden="false" customHeight="true" outlineLevel="0" collapsed="false">
      <c r="B9" s="11" t="s">
        <v>34</v>
      </c>
      <c r="C9" s="12" t="s">
        <v>52</v>
      </c>
      <c r="D9" s="13" t="s">
        <v>35</v>
      </c>
      <c r="E9" s="14" t="s">
        <v>76</v>
      </c>
      <c r="F9" s="5" t="s">
        <v>21</v>
      </c>
      <c r="G9" s="5" t="s">
        <v>71</v>
      </c>
    </row>
    <row r="10" customFormat="false" ht="49.5" hidden="false" customHeight="true" outlineLevel="0" collapsed="false">
      <c r="B10" s="15" t="s">
        <v>36</v>
      </c>
      <c r="C10" s="16" t="s">
        <v>52</v>
      </c>
      <c r="D10" s="17" t="s">
        <v>37</v>
      </c>
      <c r="E10" s="18" t="s">
        <v>77</v>
      </c>
      <c r="F10" s="7" t="s">
        <v>14</v>
      </c>
      <c r="G10" s="7" t="s">
        <v>74</v>
      </c>
    </row>
    <row r="11" customFormat="false" ht="49.5" hidden="false" customHeight="true" outlineLevel="0" collapsed="false">
      <c r="B11" s="11" t="s">
        <v>38</v>
      </c>
      <c r="C11" s="12" t="s">
        <v>52</v>
      </c>
      <c r="D11" s="13" t="s">
        <v>39</v>
      </c>
      <c r="E11" s="14" t="s">
        <v>78</v>
      </c>
      <c r="F11" s="5" t="s">
        <v>14</v>
      </c>
      <c r="G11" s="5" t="s">
        <v>74</v>
      </c>
    </row>
    <row r="12" customFormat="false" ht="49.5" hidden="false" customHeight="true" outlineLevel="0" collapsed="false">
      <c r="B12" s="15" t="s">
        <v>40</v>
      </c>
      <c r="C12" s="16" t="s">
        <v>52</v>
      </c>
      <c r="D12" s="17" t="s">
        <v>41</v>
      </c>
      <c r="E12" s="18" t="s">
        <v>79</v>
      </c>
      <c r="F12" s="7" t="s">
        <v>14</v>
      </c>
      <c r="G12" s="7" t="s">
        <v>74</v>
      </c>
    </row>
    <row r="13" customFormat="false" ht="49.5" hidden="false" customHeight="true" outlineLevel="0" collapsed="false">
      <c r="B13" s="11" t="s">
        <v>42</v>
      </c>
      <c r="C13" s="12" t="s">
        <v>52</v>
      </c>
      <c r="D13" s="13" t="s">
        <v>43</v>
      </c>
      <c r="E13" s="14" t="s">
        <v>80</v>
      </c>
      <c r="F13" s="5" t="s">
        <v>21</v>
      </c>
      <c r="G13" s="5" t="s">
        <v>74</v>
      </c>
    </row>
    <row r="14" customFormat="false" ht="49.5" hidden="false" customHeight="true" outlineLevel="0" collapsed="false">
      <c r="B14" s="15" t="s">
        <v>44</v>
      </c>
      <c r="C14" s="16" t="s">
        <v>52</v>
      </c>
      <c r="D14" s="17" t="s">
        <v>45</v>
      </c>
      <c r="E14" s="18" t="s">
        <v>81</v>
      </c>
      <c r="F14" s="7" t="s">
        <v>14</v>
      </c>
      <c r="G14" s="7" t="s">
        <v>74</v>
      </c>
    </row>
    <row r="15" customFormat="false" ht="49.5" hidden="false" customHeight="true" outlineLevel="0" collapsed="false">
      <c r="B15" s="11" t="s">
        <v>82</v>
      </c>
      <c r="C15" s="12" t="s">
        <v>52</v>
      </c>
      <c r="D15" s="13" t="s">
        <v>83</v>
      </c>
      <c r="E15" s="14" t="s">
        <v>84</v>
      </c>
      <c r="F15" s="5" t="s">
        <v>14</v>
      </c>
      <c r="G15" s="5" t="s">
        <v>85</v>
      </c>
    </row>
    <row r="16" customFormat="false" ht="49.5" hidden="false" customHeight="true" outlineLevel="0" collapsed="false">
      <c r="B16" s="15" t="s">
        <v>86</v>
      </c>
      <c r="C16" s="16" t="s">
        <v>52</v>
      </c>
      <c r="D16" s="17" t="s">
        <v>87</v>
      </c>
      <c r="E16" s="18" t="s">
        <v>88</v>
      </c>
      <c r="F16" s="7" t="s">
        <v>14</v>
      </c>
      <c r="G16" s="7" t="s">
        <v>74</v>
      </c>
    </row>
    <row r="17" customFormat="false" ht="49.5" hidden="false" customHeight="true" outlineLevel="0" collapsed="false">
      <c r="B17" s="11" t="s">
        <v>89</v>
      </c>
      <c r="C17" s="12" t="s">
        <v>52</v>
      </c>
      <c r="D17" s="13" t="s">
        <v>90</v>
      </c>
      <c r="E17" s="14" t="s">
        <v>91</v>
      </c>
      <c r="F17" s="5" t="s">
        <v>14</v>
      </c>
      <c r="G17" s="5" t="s">
        <v>74</v>
      </c>
    </row>
    <row r="18" customFormat="false" ht="63.75" hidden="false" customHeight="true" outlineLevel="0" collapsed="false">
      <c r="B18" s="15" t="s">
        <v>92</v>
      </c>
      <c r="C18" s="16" t="s">
        <v>52</v>
      </c>
      <c r="D18" s="17" t="s">
        <v>93</v>
      </c>
      <c r="E18" s="18" t="s">
        <v>94</v>
      </c>
      <c r="F18" s="7" t="s">
        <v>14</v>
      </c>
      <c r="G18" s="7" t="s">
        <v>85</v>
      </c>
    </row>
    <row r="19" customFormat="false" ht="49.5" hidden="false" customHeight="true" outlineLevel="0" collapsed="false">
      <c r="B19" s="11" t="s">
        <v>95</v>
      </c>
      <c r="C19" s="12" t="s">
        <v>52</v>
      </c>
      <c r="D19" s="13" t="s">
        <v>96</v>
      </c>
      <c r="E19" s="14" t="s">
        <v>97</v>
      </c>
      <c r="F19" s="5" t="s">
        <v>14</v>
      </c>
      <c r="G19" s="5" t="s">
        <v>85</v>
      </c>
    </row>
    <row r="20" customFormat="false" ht="49.5" hidden="false" customHeight="true" outlineLevel="0" collapsed="false">
      <c r="B20" s="15" t="s">
        <v>98</v>
      </c>
      <c r="C20" s="16" t="s">
        <v>52</v>
      </c>
      <c r="D20" s="17" t="s">
        <v>99</v>
      </c>
      <c r="E20" s="18" t="s">
        <v>100</v>
      </c>
      <c r="F20" s="7" t="s">
        <v>21</v>
      </c>
      <c r="G20" s="7" t="s">
        <v>85</v>
      </c>
    </row>
    <row r="21" customFormat="false" ht="63.75" hidden="false" customHeight="true" outlineLevel="0" collapsed="false">
      <c r="B21" s="11" t="s">
        <v>101</v>
      </c>
      <c r="C21" s="12" t="s">
        <v>52</v>
      </c>
      <c r="D21" s="13" t="s">
        <v>102</v>
      </c>
      <c r="E21" s="14" t="s">
        <v>103</v>
      </c>
      <c r="F21" s="5" t="s">
        <v>14</v>
      </c>
      <c r="G21" s="5" t="s">
        <v>74</v>
      </c>
    </row>
    <row r="22" customFormat="false" ht="49.5" hidden="false" customHeight="true" outlineLevel="0" collapsed="false">
      <c r="B22" s="15" t="s">
        <v>104</v>
      </c>
      <c r="C22" s="16" t="s">
        <v>52</v>
      </c>
      <c r="D22" s="17" t="s">
        <v>105</v>
      </c>
      <c r="E22" s="18" t="s">
        <v>106</v>
      </c>
      <c r="F22" s="7" t="s">
        <v>14</v>
      </c>
      <c r="G22" s="7" t="s">
        <v>74</v>
      </c>
    </row>
    <row r="23" customFormat="false" ht="63.75" hidden="false" customHeight="true" outlineLevel="0" collapsed="false">
      <c r="B23" s="11" t="s">
        <v>107</v>
      </c>
      <c r="C23" s="12" t="s">
        <v>52</v>
      </c>
      <c r="D23" s="13" t="s">
        <v>108</v>
      </c>
      <c r="E23" s="14" t="s">
        <v>109</v>
      </c>
      <c r="F23" s="5" t="s">
        <v>14</v>
      </c>
      <c r="G23" s="5" t="s">
        <v>74</v>
      </c>
    </row>
    <row r="24" customFormat="false" ht="63.75" hidden="false" customHeight="true" outlineLevel="0" collapsed="false">
      <c r="B24" s="15" t="s">
        <v>110</v>
      </c>
      <c r="C24" s="16" t="s">
        <v>52</v>
      </c>
      <c r="D24" s="17" t="s">
        <v>111</v>
      </c>
      <c r="E24" s="18" t="s">
        <v>112</v>
      </c>
      <c r="F24" s="7" t="s">
        <v>14</v>
      </c>
      <c r="G24" s="7" t="s">
        <v>74</v>
      </c>
    </row>
    <row r="25" customFormat="false" ht="49.5" hidden="false" customHeight="true" outlineLevel="0" collapsed="false">
      <c r="B25" s="11" t="s">
        <v>113</v>
      </c>
      <c r="C25" s="12" t="s">
        <v>51</v>
      </c>
      <c r="D25" s="13" t="s">
        <v>114</v>
      </c>
      <c r="E25" s="14" t="s">
        <v>115</v>
      </c>
      <c r="F25" s="5" t="s">
        <v>14</v>
      </c>
      <c r="G25" s="5" t="s">
        <v>74</v>
      </c>
    </row>
    <row r="26" customFormat="false" ht="49.5" hidden="false" customHeight="true" outlineLevel="0" collapsed="false">
      <c r="B26" s="15" t="s">
        <v>116</v>
      </c>
      <c r="C26" s="16" t="s">
        <v>51</v>
      </c>
      <c r="D26" s="17" t="s">
        <v>117</v>
      </c>
      <c r="E26" s="18" t="s">
        <v>118</v>
      </c>
      <c r="F26" s="7" t="s">
        <v>14</v>
      </c>
      <c r="G26" s="7" t="s">
        <v>74</v>
      </c>
    </row>
    <row r="27" customFormat="false" ht="49.5" hidden="false" customHeight="true" outlineLevel="0" collapsed="false">
      <c r="B27" s="11" t="s">
        <v>119</v>
      </c>
      <c r="C27" s="12" t="s">
        <v>51</v>
      </c>
      <c r="D27" s="13" t="s">
        <v>120</v>
      </c>
      <c r="E27" s="14" t="s">
        <v>121</v>
      </c>
      <c r="F27" s="5" t="s">
        <v>14</v>
      </c>
      <c r="G27" s="5" t="s">
        <v>74</v>
      </c>
    </row>
    <row r="28" customFormat="false" ht="49.5" hidden="false" customHeight="true" outlineLevel="0" collapsed="false">
      <c r="B28" s="15" t="s">
        <v>122</v>
      </c>
      <c r="C28" s="16" t="s">
        <v>51</v>
      </c>
      <c r="D28" s="17" t="s">
        <v>123</v>
      </c>
      <c r="E28" s="18" t="s">
        <v>124</v>
      </c>
      <c r="F28" s="7" t="s">
        <v>22</v>
      </c>
      <c r="G28" s="7" t="s">
        <v>74</v>
      </c>
    </row>
    <row r="29" customFormat="false" ht="63.75" hidden="false" customHeight="true" outlineLevel="0" collapsed="false">
      <c r="B29" s="11" t="s">
        <v>125</v>
      </c>
      <c r="C29" s="12" t="s">
        <v>51</v>
      </c>
      <c r="D29" s="13" t="s">
        <v>126</v>
      </c>
      <c r="E29" s="14" t="s">
        <v>127</v>
      </c>
      <c r="F29" s="5" t="s">
        <v>14</v>
      </c>
      <c r="G29" s="5" t="s">
        <v>74</v>
      </c>
    </row>
    <row r="30" customFormat="false" ht="49.5" hidden="false" customHeight="true" outlineLevel="0" collapsed="false">
      <c r="B30" s="15" t="s">
        <v>128</v>
      </c>
      <c r="C30" s="16" t="s">
        <v>51</v>
      </c>
      <c r="D30" s="17" t="s">
        <v>129</v>
      </c>
      <c r="E30" s="18" t="s">
        <v>130</v>
      </c>
      <c r="F30" s="7" t="s">
        <v>21</v>
      </c>
      <c r="G30" s="7" t="s">
        <v>71</v>
      </c>
    </row>
    <row r="31" customFormat="false" ht="49.5" hidden="false" customHeight="true" outlineLevel="0" collapsed="false">
      <c r="B31" s="11" t="s">
        <v>131</v>
      </c>
      <c r="C31" s="12" t="s">
        <v>51</v>
      </c>
      <c r="D31" s="13" t="s">
        <v>132</v>
      </c>
      <c r="E31" s="14" t="s">
        <v>133</v>
      </c>
      <c r="F31" s="5" t="s">
        <v>14</v>
      </c>
      <c r="G31" s="5" t="s">
        <v>74</v>
      </c>
    </row>
    <row r="32" customFormat="false" ht="49.5" hidden="false" customHeight="true" outlineLevel="0" collapsed="false">
      <c r="B32" s="15" t="s">
        <v>134</v>
      </c>
      <c r="C32" s="16" t="s">
        <v>51</v>
      </c>
      <c r="D32" s="17" t="s">
        <v>135</v>
      </c>
      <c r="E32" s="18" t="s">
        <v>136</v>
      </c>
      <c r="F32" s="7" t="s">
        <v>21</v>
      </c>
      <c r="G32" s="7" t="s">
        <v>71</v>
      </c>
    </row>
    <row r="33" customFormat="false" ht="63.75" hidden="false" customHeight="true" outlineLevel="0" collapsed="false">
      <c r="B33" s="11" t="s">
        <v>137</v>
      </c>
      <c r="C33" s="12" t="s">
        <v>51</v>
      </c>
      <c r="D33" s="13" t="s">
        <v>138</v>
      </c>
      <c r="E33" s="14" t="s">
        <v>139</v>
      </c>
      <c r="F33" s="5" t="s">
        <v>14</v>
      </c>
      <c r="G33" s="5" t="s">
        <v>71</v>
      </c>
    </row>
    <row r="34" customFormat="false" ht="49.5" hidden="false" customHeight="true" outlineLevel="0" collapsed="false">
      <c r="B34" s="15" t="s">
        <v>140</v>
      </c>
      <c r="C34" s="16" t="s">
        <v>51</v>
      </c>
      <c r="D34" s="17" t="s">
        <v>141</v>
      </c>
      <c r="E34" s="18" t="s">
        <v>142</v>
      </c>
      <c r="F34" s="7" t="s">
        <v>22</v>
      </c>
      <c r="G34" s="7" t="s">
        <v>74</v>
      </c>
    </row>
    <row r="35" customFormat="false" ht="63.75" hidden="false" customHeight="true" outlineLevel="0" collapsed="false">
      <c r="B35" s="11" t="s">
        <v>143</v>
      </c>
      <c r="C35" s="12" t="s">
        <v>51</v>
      </c>
      <c r="D35" s="13" t="s">
        <v>144</v>
      </c>
      <c r="E35" s="14" t="s">
        <v>145</v>
      </c>
      <c r="F35" s="5" t="s">
        <v>14</v>
      </c>
      <c r="G35" s="5" t="s">
        <v>74</v>
      </c>
    </row>
    <row r="36" customFormat="false" ht="49.5" hidden="false" customHeight="true" outlineLevel="0" collapsed="false">
      <c r="B36" s="15" t="s">
        <v>146</v>
      </c>
      <c r="C36" s="16" t="s">
        <v>51</v>
      </c>
      <c r="D36" s="17" t="s">
        <v>147</v>
      </c>
      <c r="E36" s="18" t="s">
        <v>148</v>
      </c>
      <c r="F36" s="7" t="s">
        <v>14</v>
      </c>
      <c r="G36" s="7" t="s">
        <v>74</v>
      </c>
    </row>
    <row r="37" customFormat="false" ht="49.5" hidden="false" customHeight="true" outlineLevel="0" collapsed="false">
      <c r="B37" s="11" t="s">
        <v>149</v>
      </c>
      <c r="C37" s="12" t="s">
        <v>51</v>
      </c>
      <c r="D37" s="13" t="s">
        <v>150</v>
      </c>
      <c r="E37" s="14" t="s">
        <v>151</v>
      </c>
      <c r="F37" s="5" t="s">
        <v>21</v>
      </c>
      <c r="G37" s="5" t="s">
        <v>71</v>
      </c>
    </row>
    <row r="38" customFormat="false" ht="49.5" hidden="false" customHeight="true" outlineLevel="0" collapsed="false">
      <c r="B38" s="15" t="s">
        <v>152</v>
      </c>
      <c r="C38" s="16" t="s">
        <v>51</v>
      </c>
      <c r="D38" s="17" t="s">
        <v>153</v>
      </c>
      <c r="E38" s="18" t="s">
        <v>154</v>
      </c>
      <c r="F38" s="7" t="s">
        <v>14</v>
      </c>
      <c r="G38" s="7" t="s">
        <v>74</v>
      </c>
    </row>
    <row r="39" customFormat="false" ht="49.5" hidden="false" customHeight="true" outlineLevel="0" collapsed="false">
      <c r="B39" s="11" t="s">
        <v>155</v>
      </c>
      <c r="C39" s="12" t="s">
        <v>50</v>
      </c>
      <c r="D39" s="13" t="s">
        <v>156</v>
      </c>
      <c r="E39" s="14" t="s">
        <v>157</v>
      </c>
      <c r="F39" s="5" t="s">
        <v>22</v>
      </c>
      <c r="G39" s="5" t="s">
        <v>74</v>
      </c>
    </row>
    <row r="40" customFormat="false" ht="49.5" hidden="false" customHeight="true" outlineLevel="0" collapsed="false">
      <c r="B40" s="15" t="s">
        <v>158</v>
      </c>
      <c r="C40" s="16" t="s">
        <v>50</v>
      </c>
      <c r="D40" s="17" t="s">
        <v>159</v>
      </c>
      <c r="E40" s="18" t="s">
        <v>160</v>
      </c>
      <c r="F40" s="7" t="s">
        <v>14</v>
      </c>
      <c r="G40" s="7" t="s">
        <v>74</v>
      </c>
    </row>
    <row r="41" customFormat="false" ht="63.75" hidden="false" customHeight="true" outlineLevel="0" collapsed="false">
      <c r="B41" s="11" t="s">
        <v>161</v>
      </c>
      <c r="C41" s="12" t="s">
        <v>50</v>
      </c>
      <c r="D41" s="13" t="s">
        <v>162</v>
      </c>
      <c r="E41" s="14" t="s">
        <v>163</v>
      </c>
      <c r="F41" s="5" t="s">
        <v>14</v>
      </c>
      <c r="G41" s="5" t="s">
        <v>85</v>
      </c>
    </row>
    <row r="42" customFormat="false" ht="63.75" hidden="false" customHeight="true" outlineLevel="0" collapsed="false">
      <c r="B42" s="15" t="s">
        <v>164</v>
      </c>
      <c r="C42" s="16" t="s">
        <v>54</v>
      </c>
      <c r="D42" s="17" t="s">
        <v>165</v>
      </c>
      <c r="E42" s="18" t="s">
        <v>166</v>
      </c>
      <c r="F42" s="7" t="s">
        <v>22</v>
      </c>
      <c r="G42" s="7" t="s">
        <v>85</v>
      </c>
    </row>
    <row r="43" customFormat="false" ht="63.75" hidden="false" customHeight="true" outlineLevel="0" collapsed="false">
      <c r="B43" s="11" t="s">
        <v>167</v>
      </c>
      <c r="C43" s="12" t="s">
        <v>49</v>
      </c>
      <c r="D43" s="13" t="s">
        <v>168</v>
      </c>
      <c r="E43" s="14" t="s">
        <v>169</v>
      </c>
      <c r="F43" s="5" t="s">
        <v>21</v>
      </c>
      <c r="G43" s="5" t="s">
        <v>71</v>
      </c>
    </row>
    <row r="44" customFormat="false" ht="49.5" hidden="false" customHeight="true" outlineLevel="0" collapsed="false">
      <c r="B44" s="15" t="s">
        <v>170</v>
      </c>
      <c r="C44" s="16" t="s">
        <v>49</v>
      </c>
      <c r="D44" s="17" t="s">
        <v>171</v>
      </c>
      <c r="E44" s="18" t="s">
        <v>172</v>
      </c>
      <c r="F44" s="7" t="s">
        <v>14</v>
      </c>
      <c r="G44" s="7" t="s">
        <v>74</v>
      </c>
    </row>
    <row r="45" customFormat="false" ht="63.75" hidden="false" customHeight="true" outlineLevel="0" collapsed="false">
      <c r="B45" s="11" t="s">
        <v>173</v>
      </c>
      <c r="C45" s="12" t="s">
        <v>48</v>
      </c>
      <c r="D45" s="13" t="s">
        <v>174</v>
      </c>
      <c r="E45" s="14" t="s">
        <v>175</v>
      </c>
      <c r="F45" s="5" t="s">
        <v>14</v>
      </c>
      <c r="G45" s="5" t="s">
        <v>71</v>
      </c>
    </row>
    <row r="46" customFormat="false" ht="63.75" hidden="false" customHeight="true" outlineLevel="0" collapsed="false">
      <c r="B46" s="15" t="s">
        <v>176</v>
      </c>
      <c r="C46" s="16" t="s">
        <v>48</v>
      </c>
      <c r="D46" s="17" t="s">
        <v>177</v>
      </c>
      <c r="E46" s="18" t="s">
        <v>178</v>
      </c>
      <c r="F46" s="7" t="s">
        <v>14</v>
      </c>
      <c r="G46" s="7" t="s">
        <v>74</v>
      </c>
    </row>
    <row r="47" customFormat="false" ht="63.75" hidden="false" customHeight="true" outlineLevel="0" collapsed="false">
      <c r="B47" s="11" t="s">
        <v>179</v>
      </c>
      <c r="C47" s="12" t="s">
        <v>48</v>
      </c>
      <c r="D47" s="13" t="s">
        <v>180</v>
      </c>
      <c r="E47" s="14" t="s">
        <v>181</v>
      </c>
      <c r="F47" s="5" t="s">
        <v>14</v>
      </c>
      <c r="G47" s="5" t="s">
        <v>85</v>
      </c>
    </row>
    <row r="48" customFormat="false" ht="49.5" hidden="false" customHeight="true" outlineLevel="0" collapsed="false">
      <c r="B48" s="15" t="s">
        <v>182</v>
      </c>
      <c r="C48" s="16" t="s">
        <v>48</v>
      </c>
      <c r="D48" s="17" t="s">
        <v>183</v>
      </c>
      <c r="E48" s="18" t="s">
        <v>184</v>
      </c>
      <c r="F48" s="7" t="s">
        <v>14</v>
      </c>
      <c r="G48" s="7" t="s">
        <v>74</v>
      </c>
    </row>
    <row r="49" customFormat="false" ht="63.75" hidden="false" customHeight="true" outlineLevel="0" collapsed="false">
      <c r="B49" s="11" t="s">
        <v>185</v>
      </c>
      <c r="C49" s="12" t="s">
        <v>48</v>
      </c>
      <c r="D49" s="13" t="s">
        <v>186</v>
      </c>
      <c r="E49" s="14" t="s">
        <v>187</v>
      </c>
      <c r="F49" s="5" t="s">
        <v>14</v>
      </c>
      <c r="G49" s="5" t="s">
        <v>74</v>
      </c>
    </row>
    <row r="50" customFormat="false" ht="63.75" hidden="false" customHeight="true" outlineLevel="0" collapsed="false">
      <c r="B50" s="15" t="s">
        <v>188</v>
      </c>
      <c r="C50" s="16" t="s">
        <v>55</v>
      </c>
      <c r="D50" s="17" t="s">
        <v>189</v>
      </c>
      <c r="E50" s="18" t="s">
        <v>190</v>
      </c>
      <c r="F50" s="7" t="s">
        <v>22</v>
      </c>
      <c r="G50" s="7" t="s">
        <v>85</v>
      </c>
    </row>
    <row r="51" customFormat="false" ht="63.75" hidden="false" customHeight="true" outlineLevel="0" collapsed="false">
      <c r="B51" s="11" t="s">
        <v>191</v>
      </c>
      <c r="C51" s="12" t="s">
        <v>55</v>
      </c>
      <c r="D51" s="13" t="s">
        <v>192</v>
      </c>
      <c r="E51" s="14" t="s">
        <v>193</v>
      </c>
      <c r="F51" s="5" t="s">
        <v>21</v>
      </c>
      <c r="G51" s="5" t="s">
        <v>71</v>
      </c>
    </row>
    <row r="52" customFormat="false" ht="49.5" hidden="false" customHeight="true" outlineLevel="0" collapsed="false">
      <c r="B52" s="15" t="s">
        <v>194</v>
      </c>
      <c r="C52" s="16" t="s">
        <v>53</v>
      </c>
      <c r="D52" s="17" t="s">
        <v>195</v>
      </c>
      <c r="E52" s="18" t="s">
        <v>196</v>
      </c>
      <c r="F52" s="7" t="s">
        <v>21</v>
      </c>
      <c r="G52" s="7" t="s">
        <v>71</v>
      </c>
    </row>
    <row r="53" customFormat="false" ht="49.5" hidden="false" customHeight="true" outlineLevel="0" collapsed="false">
      <c r="B53" s="11" t="s">
        <v>197</v>
      </c>
      <c r="C53" s="12" t="s">
        <v>52</v>
      </c>
      <c r="D53" s="13" t="s">
        <v>198</v>
      </c>
      <c r="E53" s="14" t="s">
        <v>199</v>
      </c>
      <c r="F53" s="5" t="s">
        <v>14</v>
      </c>
      <c r="G53" s="5" t="s">
        <v>74</v>
      </c>
    </row>
    <row r="54" customFormat="false" ht="63.75" hidden="false" customHeight="true" outlineLevel="0" collapsed="false">
      <c r="B54" s="15" t="s">
        <v>200</v>
      </c>
      <c r="C54" s="16" t="s">
        <v>52</v>
      </c>
      <c r="D54" s="17" t="s">
        <v>201</v>
      </c>
      <c r="E54" s="18" t="s">
        <v>202</v>
      </c>
      <c r="F54" s="7" t="s">
        <v>14</v>
      </c>
      <c r="G54" s="7" t="s">
        <v>71</v>
      </c>
    </row>
  </sheetData>
  <autoFilter ref="B4:G54"/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.5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62"/>
    <col collapsed="false" customWidth="true" hidden="false" outlineLevel="0" max="6" min="6" style="0" width="11"/>
    <col collapsed="false" customWidth="true" hidden="false" outlineLevel="0" max="7" min="7" style="0" width="14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203</v>
      </c>
      <c r="C2" s="1"/>
      <c r="D2" s="1"/>
      <c r="E2" s="1"/>
      <c r="F2" s="1"/>
      <c r="G2" s="1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24</v>
      </c>
      <c r="C4" s="3" t="s">
        <v>47</v>
      </c>
      <c r="D4" s="3" t="s">
        <v>25</v>
      </c>
      <c r="E4" s="3" t="s">
        <v>68</v>
      </c>
      <c r="F4" s="3" t="s">
        <v>20</v>
      </c>
      <c r="G4" s="3" t="s">
        <v>69</v>
      </c>
    </row>
    <row r="5" customFormat="false" ht="63.75" hidden="false" customHeight="true" outlineLevel="0" collapsed="false">
      <c r="B5" s="11" t="s">
        <v>204</v>
      </c>
      <c r="C5" s="12" t="s">
        <v>51</v>
      </c>
      <c r="D5" s="13" t="s">
        <v>205</v>
      </c>
      <c r="E5" s="14" t="s">
        <v>206</v>
      </c>
      <c r="F5" s="5" t="s">
        <v>14</v>
      </c>
      <c r="G5" s="5" t="s">
        <v>74</v>
      </c>
    </row>
    <row r="6" customFormat="false" ht="49.5" hidden="false" customHeight="true" outlineLevel="0" collapsed="false">
      <c r="B6" s="15" t="s">
        <v>207</v>
      </c>
      <c r="C6" s="16" t="s">
        <v>51</v>
      </c>
      <c r="D6" s="17" t="s">
        <v>208</v>
      </c>
      <c r="E6" s="18" t="s">
        <v>209</v>
      </c>
      <c r="F6" s="7" t="s">
        <v>21</v>
      </c>
      <c r="G6" s="7" t="s">
        <v>71</v>
      </c>
    </row>
    <row r="7" customFormat="false" ht="49.5" hidden="false" customHeight="true" outlineLevel="0" collapsed="false">
      <c r="B7" s="11" t="s">
        <v>210</v>
      </c>
      <c r="C7" s="12" t="s">
        <v>51</v>
      </c>
      <c r="D7" s="13" t="s">
        <v>211</v>
      </c>
      <c r="E7" s="14" t="s">
        <v>212</v>
      </c>
      <c r="F7" s="5" t="s">
        <v>21</v>
      </c>
      <c r="G7" s="5" t="s">
        <v>71</v>
      </c>
    </row>
    <row r="8" customFormat="false" ht="49.5" hidden="false" customHeight="true" outlineLevel="0" collapsed="false">
      <c r="B8" s="15" t="s">
        <v>213</v>
      </c>
      <c r="C8" s="16" t="s">
        <v>51</v>
      </c>
      <c r="D8" s="17" t="s">
        <v>214</v>
      </c>
      <c r="E8" s="18" t="s">
        <v>215</v>
      </c>
      <c r="F8" s="7" t="s">
        <v>14</v>
      </c>
      <c r="G8" s="7" t="s">
        <v>74</v>
      </c>
    </row>
    <row r="9" customFormat="false" ht="49.5" hidden="false" customHeight="true" outlineLevel="0" collapsed="false">
      <c r="B9" s="11" t="s">
        <v>216</v>
      </c>
      <c r="C9" s="12" t="s">
        <v>51</v>
      </c>
      <c r="D9" s="13" t="s">
        <v>217</v>
      </c>
      <c r="E9" s="14" t="s">
        <v>218</v>
      </c>
      <c r="F9" s="5" t="s">
        <v>14</v>
      </c>
      <c r="G9" s="5" t="s">
        <v>74</v>
      </c>
    </row>
    <row r="10" customFormat="false" ht="63.75" hidden="false" customHeight="true" outlineLevel="0" collapsed="false">
      <c r="B10" s="15" t="s">
        <v>219</v>
      </c>
      <c r="C10" s="16" t="s">
        <v>51</v>
      </c>
      <c r="D10" s="17" t="s">
        <v>220</v>
      </c>
      <c r="E10" s="18" t="s">
        <v>221</v>
      </c>
      <c r="F10" s="7" t="s">
        <v>21</v>
      </c>
      <c r="G10" s="7" t="s">
        <v>71</v>
      </c>
    </row>
    <row r="11" customFormat="false" ht="49.5" hidden="false" customHeight="true" outlineLevel="0" collapsed="false">
      <c r="B11" s="11" t="s">
        <v>222</v>
      </c>
      <c r="C11" s="12" t="s">
        <v>51</v>
      </c>
      <c r="D11" s="13" t="s">
        <v>223</v>
      </c>
      <c r="E11" s="14" t="s">
        <v>224</v>
      </c>
      <c r="F11" s="5" t="s">
        <v>14</v>
      </c>
      <c r="G11" s="5" t="s">
        <v>74</v>
      </c>
    </row>
    <row r="12" customFormat="false" ht="49.5" hidden="false" customHeight="true" outlineLevel="0" collapsed="false">
      <c r="B12" s="15" t="s">
        <v>225</v>
      </c>
      <c r="C12" s="16" t="s">
        <v>51</v>
      </c>
      <c r="D12" s="17" t="s">
        <v>226</v>
      </c>
      <c r="E12" s="18" t="s">
        <v>227</v>
      </c>
      <c r="F12" s="7" t="s">
        <v>21</v>
      </c>
      <c r="G12" s="7" t="s">
        <v>74</v>
      </c>
    </row>
    <row r="13" customFormat="false" ht="49.5" hidden="false" customHeight="true" outlineLevel="0" collapsed="false">
      <c r="B13" s="11" t="s">
        <v>228</v>
      </c>
      <c r="C13" s="12" t="s">
        <v>51</v>
      </c>
      <c r="D13" s="13" t="s">
        <v>229</v>
      </c>
      <c r="E13" s="14" t="s">
        <v>230</v>
      </c>
      <c r="F13" s="5" t="s">
        <v>14</v>
      </c>
      <c r="G13" s="5" t="s">
        <v>74</v>
      </c>
    </row>
    <row r="14" customFormat="false" ht="49.5" hidden="false" customHeight="true" outlineLevel="0" collapsed="false">
      <c r="B14" s="15" t="s">
        <v>231</v>
      </c>
      <c r="C14" s="16" t="s">
        <v>51</v>
      </c>
      <c r="D14" s="17" t="s">
        <v>232</v>
      </c>
      <c r="E14" s="18" t="s">
        <v>233</v>
      </c>
      <c r="F14" s="7" t="s">
        <v>14</v>
      </c>
      <c r="G14" s="7" t="s">
        <v>74</v>
      </c>
    </row>
    <row r="15" customFormat="false" ht="49.5" hidden="false" customHeight="true" outlineLevel="0" collapsed="false">
      <c r="B15" s="11" t="s">
        <v>234</v>
      </c>
      <c r="C15" s="12" t="s">
        <v>51</v>
      </c>
      <c r="D15" s="13" t="s">
        <v>235</v>
      </c>
      <c r="E15" s="14" t="s">
        <v>236</v>
      </c>
      <c r="F15" s="5" t="s">
        <v>14</v>
      </c>
      <c r="G15" s="5" t="s">
        <v>74</v>
      </c>
    </row>
    <row r="16" customFormat="false" ht="49.5" hidden="false" customHeight="true" outlineLevel="0" collapsed="false">
      <c r="B16" s="15" t="s">
        <v>237</v>
      </c>
      <c r="C16" s="16" t="s">
        <v>51</v>
      </c>
      <c r="D16" s="17" t="s">
        <v>238</v>
      </c>
      <c r="E16" s="18" t="s">
        <v>239</v>
      </c>
      <c r="F16" s="7" t="s">
        <v>14</v>
      </c>
      <c r="G16" s="7" t="s">
        <v>74</v>
      </c>
    </row>
    <row r="17" customFormat="false" ht="63.75" hidden="false" customHeight="true" outlineLevel="0" collapsed="false">
      <c r="B17" s="11" t="s">
        <v>240</v>
      </c>
      <c r="C17" s="12" t="s">
        <v>51</v>
      </c>
      <c r="D17" s="13" t="s">
        <v>241</v>
      </c>
      <c r="E17" s="14" t="s">
        <v>242</v>
      </c>
      <c r="F17" s="5" t="s">
        <v>21</v>
      </c>
      <c r="G17" s="5" t="s">
        <v>71</v>
      </c>
    </row>
    <row r="18" customFormat="false" ht="49.5" hidden="false" customHeight="true" outlineLevel="0" collapsed="false">
      <c r="B18" s="15" t="s">
        <v>243</v>
      </c>
      <c r="C18" s="16" t="s">
        <v>51</v>
      </c>
      <c r="D18" s="17" t="s">
        <v>244</v>
      </c>
      <c r="E18" s="18" t="s">
        <v>245</v>
      </c>
      <c r="F18" s="7" t="s">
        <v>14</v>
      </c>
      <c r="G18" s="7" t="s">
        <v>71</v>
      </c>
    </row>
    <row r="19" customFormat="false" ht="63.75" hidden="false" customHeight="true" outlineLevel="0" collapsed="false">
      <c r="B19" s="11" t="s">
        <v>246</v>
      </c>
      <c r="C19" s="12" t="s">
        <v>52</v>
      </c>
      <c r="D19" s="13" t="s">
        <v>247</v>
      </c>
      <c r="E19" s="14" t="s">
        <v>248</v>
      </c>
      <c r="F19" s="5" t="s">
        <v>21</v>
      </c>
      <c r="G19" s="5" t="s">
        <v>71</v>
      </c>
    </row>
    <row r="20" customFormat="false" ht="63.75" hidden="false" customHeight="true" outlineLevel="0" collapsed="false">
      <c r="B20" s="15" t="s">
        <v>249</v>
      </c>
      <c r="C20" s="16" t="s">
        <v>52</v>
      </c>
      <c r="D20" s="17" t="s">
        <v>250</v>
      </c>
      <c r="E20" s="18" t="s">
        <v>251</v>
      </c>
      <c r="F20" s="7" t="s">
        <v>21</v>
      </c>
      <c r="G20" s="7" t="s">
        <v>71</v>
      </c>
    </row>
    <row r="21" customFormat="false" ht="49.5" hidden="false" customHeight="true" outlineLevel="0" collapsed="false">
      <c r="B21" s="11" t="s">
        <v>252</v>
      </c>
      <c r="C21" s="12" t="s">
        <v>52</v>
      </c>
      <c r="D21" s="13" t="s">
        <v>253</v>
      </c>
      <c r="E21" s="14" t="s">
        <v>254</v>
      </c>
      <c r="F21" s="5" t="s">
        <v>14</v>
      </c>
      <c r="G21" s="5" t="s">
        <v>74</v>
      </c>
    </row>
    <row r="22" customFormat="false" ht="49.5" hidden="false" customHeight="true" outlineLevel="0" collapsed="false">
      <c r="B22" s="15" t="s">
        <v>255</v>
      </c>
      <c r="C22" s="16" t="s">
        <v>52</v>
      </c>
      <c r="D22" s="17" t="s">
        <v>256</v>
      </c>
      <c r="E22" s="18" t="s">
        <v>257</v>
      </c>
      <c r="F22" s="7" t="s">
        <v>14</v>
      </c>
      <c r="G22" s="7" t="s">
        <v>74</v>
      </c>
    </row>
    <row r="23" customFormat="false" ht="63.75" hidden="false" customHeight="true" outlineLevel="0" collapsed="false">
      <c r="B23" s="11" t="s">
        <v>258</v>
      </c>
      <c r="C23" s="12" t="s">
        <v>52</v>
      </c>
      <c r="D23" s="13" t="s">
        <v>259</v>
      </c>
      <c r="E23" s="14" t="s">
        <v>260</v>
      </c>
      <c r="F23" s="5" t="s">
        <v>14</v>
      </c>
      <c r="G23" s="5" t="s">
        <v>74</v>
      </c>
    </row>
    <row r="24" customFormat="false" ht="49.5" hidden="false" customHeight="true" outlineLevel="0" collapsed="false">
      <c r="B24" s="15" t="s">
        <v>261</v>
      </c>
      <c r="C24" s="16" t="s">
        <v>52</v>
      </c>
      <c r="D24" s="17" t="s">
        <v>262</v>
      </c>
      <c r="E24" s="18" t="s">
        <v>263</v>
      </c>
      <c r="F24" s="7" t="s">
        <v>21</v>
      </c>
      <c r="G24" s="7" t="s">
        <v>74</v>
      </c>
    </row>
    <row r="25" customFormat="false" ht="63.75" hidden="false" customHeight="true" outlineLevel="0" collapsed="false">
      <c r="B25" s="11" t="s">
        <v>264</v>
      </c>
      <c r="C25" s="12" t="s">
        <v>52</v>
      </c>
      <c r="D25" s="13" t="s">
        <v>265</v>
      </c>
      <c r="E25" s="14" t="s">
        <v>266</v>
      </c>
      <c r="F25" s="5" t="s">
        <v>21</v>
      </c>
      <c r="G25" s="5" t="s">
        <v>74</v>
      </c>
    </row>
    <row r="26" customFormat="false" ht="49.5" hidden="false" customHeight="true" outlineLevel="0" collapsed="false">
      <c r="B26" s="15" t="s">
        <v>267</v>
      </c>
      <c r="C26" s="16" t="s">
        <v>52</v>
      </c>
      <c r="D26" s="17" t="s">
        <v>268</v>
      </c>
      <c r="E26" s="18" t="s">
        <v>269</v>
      </c>
      <c r="F26" s="7" t="s">
        <v>21</v>
      </c>
      <c r="G26" s="7" t="s">
        <v>71</v>
      </c>
    </row>
    <row r="27" customFormat="false" ht="49.5" hidden="false" customHeight="true" outlineLevel="0" collapsed="false">
      <c r="B27" s="11" t="s">
        <v>270</v>
      </c>
      <c r="C27" s="12" t="s">
        <v>52</v>
      </c>
      <c r="D27" s="13" t="s">
        <v>271</v>
      </c>
      <c r="E27" s="14" t="s">
        <v>272</v>
      </c>
      <c r="F27" s="5" t="s">
        <v>21</v>
      </c>
      <c r="G27" s="5" t="s">
        <v>71</v>
      </c>
    </row>
    <row r="28" customFormat="false" ht="49.5" hidden="false" customHeight="true" outlineLevel="0" collapsed="false">
      <c r="B28" s="15" t="s">
        <v>273</v>
      </c>
      <c r="C28" s="16" t="s">
        <v>52</v>
      </c>
      <c r="D28" s="17" t="s">
        <v>274</v>
      </c>
      <c r="E28" s="18" t="s">
        <v>275</v>
      </c>
      <c r="F28" s="7" t="s">
        <v>21</v>
      </c>
      <c r="G28" s="7" t="s">
        <v>74</v>
      </c>
    </row>
    <row r="29" customFormat="false" ht="49.5" hidden="false" customHeight="true" outlineLevel="0" collapsed="false">
      <c r="B29" s="11" t="s">
        <v>276</v>
      </c>
      <c r="C29" s="12" t="s">
        <v>52</v>
      </c>
      <c r="D29" s="13" t="s">
        <v>277</v>
      </c>
      <c r="E29" s="14" t="s">
        <v>278</v>
      </c>
      <c r="F29" s="5" t="s">
        <v>21</v>
      </c>
      <c r="G29" s="5" t="s">
        <v>74</v>
      </c>
    </row>
    <row r="30" customFormat="false" ht="63.75" hidden="false" customHeight="true" outlineLevel="0" collapsed="false">
      <c r="B30" s="15" t="s">
        <v>279</v>
      </c>
      <c r="C30" s="16" t="s">
        <v>57</v>
      </c>
      <c r="D30" s="17" t="s">
        <v>280</v>
      </c>
      <c r="E30" s="18" t="s">
        <v>281</v>
      </c>
      <c r="F30" s="7" t="s">
        <v>14</v>
      </c>
      <c r="G30" s="7" t="s">
        <v>74</v>
      </c>
    </row>
    <row r="31" customFormat="false" ht="49.5" hidden="false" customHeight="true" outlineLevel="0" collapsed="false">
      <c r="B31" s="11" t="s">
        <v>282</v>
      </c>
      <c r="C31" s="12" t="s">
        <v>57</v>
      </c>
      <c r="D31" s="13" t="s">
        <v>283</v>
      </c>
      <c r="E31" s="14" t="s">
        <v>284</v>
      </c>
      <c r="F31" s="5" t="s">
        <v>21</v>
      </c>
      <c r="G31" s="5" t="s">
        <v>71</v>
      </c>
    </row>
    <row r="32" customFormat="false" ht="49.5" hidden="false" customHeight="true" outlineLevel="0" collapsed="false">
      <c r="B32" s="15" t="s">
        <v>285</v>
      </c>
      <c r="C32" s="16" t="s">
        <v>57</v>
      </c>
      <c r="D32" s="17" t="s">
        <v>286</v>
      </c>
      <c r="E32" s="18" t="s">
        <v>287</v>
      </c>
      <c r="F32" s="7" t="s">
        <v>21</v>
      </c>
      <c r="G32" s="7" t="s">
        <v>71</v>
      </c>
    </row>
    <row r="33" customFormat="false" ht="63.75" hidden="false" customHeight="true" outlineLevel="0" collapsed="false">
      <c r="B33" s="11" t="s">
        <v>288</v>
      </c>
      <c r="C33" s="12" t="s">
        <v>60</v>
      </c>
      <c r="D33" s="13" t="s">
        <v>289</v>
      </c>
      <c r="E33" s="14" t="s">
        <v>290</v>
      </c>
      <c r="F33" s="5" t="s">
        <v>21</v>
      </c>
      <c r="G33" s="5" t="s">
        <v>74</v>
      </c>
    </row>
    <row r="34" customFormat="false" ht="49.5" hidden="false" customHeight="true" outlineLevel="0" collapsed="false">
      <c r="B34" s="15" t="s">
        <v>291</v>
      </c>
      <c r="C34" s="16" t="s">
        <v>60</v>
      </c>
      <c r="D34" s="17" t="s">
        <v>292</v>
      </c>
      <c r="E34" s="18" t="s">
        <v>293</v>
      </c>
      <c r="F34" s="7" t="s">
        <v>21</v>
      </c>
      <c r="G34" s="7" t="s">
        <v>71</v>
      </c>
    </row>
    <row r="35" customFormat="false" ht="49.5" hidden="false" customHeight="true" outlineLevel="0" collapsed="false">
      <c r="B35" s="11" t="s">
        <v>294</v>
      </c>
      <c r="C35" s="12" t="s">
        <v>60</v>
      </c>
      <c r="D35" s="13" t="s">
        <v>295</v>
      </c>
      <c r="E35" s="14" t="s">
        <v>296</v>
      </c>
      <c r="F35" s="5" t="s">
        <v>14</v>
      </c>
      <c r="G35" s="5" t="s">
        <v>74</v>
      </c>
    </row>
    <row r="36" customFormat="false" ht="49.5" hidden="false" customHeight="true" outlineLevel="0" collapsed="false">
      <c r="B36" s="15" t="s">
        <v>297</v>
      </c>
      <c r="C36" s="16" t="s">
        <v>59</v>
      </c>
      <c r="D36" s="17" t="s">
        <v>298</v>
      </c>
      <c r="E36" s="18" t="s">
        <v>299</v>
      </c>
      <c r="F36" s="7" t="s">
        <v>21</v>
      </c>
      <c r="G36" s="7" t="s">
        <v>74</v>
      </c>
    </row>
    <row r="37" customFormat="false" ht="49.5" hidden="false" customHeight="true" outlineLevel="0" collapsed="false">
      <c r="B37" s="11" t="s">
        <v>300</v>
      </c>
      <c r="C37" s="12" t="s">
        <v>59</v>
      </c>
      <c r="D37" s="13" t="s">
        <v>301</v>
      </c>
      <c r="E37" s="14" t="s">
        <v>302</v>
      </c>
      <c r="F37" s="5" t="s">
        <v>21</v>
      </c>
      <c r="G37" s="5" t="s">
        <v>74</v>
      </c>
    </row>
    <row r="38" customFormat="false" ht="49.5" hidden="false" customHeight="true" outlineLevel="0" collapsed="false">
      <c r="B38" s="15" t="s">
        <v>303</v>
      </c>
      <c r="C38" s="16" t="s">
        <v>48</v>
      </c>
      <c r="D38" s="17" t="s">
        <v>304</v>
      </c>
      <c r="E38" s="18" t="s">
        <v>305</v>
      </c>
      <c r="F38" s="7" t="s">
        <v>14</v>
      </c>
      <c r="G38" s="7" t="s">
        <v>74</v>
      </c>
    </row>
    <row r="39" customFormat="false" ht="63.75" hidden="false" customHeight="true" outlineLevel="0" collapsed="false">
      <c r="B39" s="11" t="s">
        <v>306</v>
      </c>
      <c r="C39" s="12" t="s">
        <v>48</v>
      </c>
      <c r="D39" s="13" t="s">
        <v>307</v>
      </c>
      <c r="E39" s="14" t="s">
        <v>308</v>
      </c>
      <c r="F39" s="5" t="s">
        <v>21</v>
      </c>
      <c r="G39" s="5" t="s">
        <v>74</v>
      </c>
    </row>
    <row r="40" customFormat="false" ht="49.5" hidden="false" customHeight="true" outlineLevel="0" collapsed="false">
      <c r="B40" s="15" t="s">
        <v>309</v>
      </c>
      <c r="C40" s="16" t="s">
        <v>48</v>
      </c>
      <c r="D40" s="17" t="s">
        <v>310</v>
      </c>
      <c r="E40" s="18" t="s">
        <v>311</v>
      </c>
      <c r="F40" s="7" t="s">
        <v>21</v>
      </c>
      <c r="G40" s="7" t="s">
        <v>74</v>
      </c>
    </row>
    <row r="41" customFormat="false" ht="63.75" hidden="false" customHeight="true" outlineLevel="0" collapsed="false">
      <c r="B41" s="11" t="s">
        <v>312</v>
      </c>
      <c r="C41" s="12" t="s">
        <v>48</v>
      </c>
      <c r="D41" s="13" t="s">
        <v>313</v>
      </c>
      <c r="E41" s="14" t="s">
        <v>314</v>
      </c>
      <c r="F41" s="5" t="s">
        <v>21</v>
      </c>
      <c r="G41" s="5" t="s">
        <v>74</v>
      </c>
    </row>
    <row r="42" customFormat="false" ht="63.75" hidden="false" customHeight="true" outlineLevel="0" collapsed="false">
      <c r="B42" s="15" t="s">
        <v>315</v>
      </c>
      <c r="C42" s="16" t="s">
        <v>55</v>
      </c>
      <c r="D42" s="17" t="s">
        <v>316</v>
      </c>
      <c r="E42" s="18" t="s">
        <v>317</v>
      </c>
      <c r="F42" s="7" t="s">
        <v>14</v>
      </c>
      <c r="G42" s="7" t="s">
        <v>74</v>
      </c>
    </row>
    <row r="43" customFormat="false" ht="49.5" hidden="false" customHeight="true" outlineLevel="0" collapsed="false">
      <c r="B43" s="11" t="s">
        <v>318</v>
      </c>
      <c r="C43" s="12" t="s">
        <v>55</v>
      </c>
      <c r="D43" s="13" t="s">
        <v>319</v>
      </c>
      <c r="E43" s="14" t="s">
        <v>320</v>
      </c>
      <c r="F43" s="5" t="s">
        <v>14</v>
      </c>
      <c r="G43" s="5" t="s">
        <v>74</v>
      </c>
    </row>
    <row r="44" customFormat="false" ht="63.75" hidden="false" customHeight="true" outlineLevel="0" collapsed="false">
      <c r="B44" s="15" t="s">
        <v>321</v>
      </c>
      <c r="C44" s="16" t="s">
        <v>49</v>
      </c>
      <c r="D44" s="17" t="s">
        <v>322</v>
      </c>
      <c r="E44" s="18" t="s">
        <v>323</v>
      </c>
      <c r="F44" s="7" t="s">
        <v>14</v>
      </c>
      <c r="G44" s="7" t="s">
        <v>74</v>
      </c>
    </row>
    <row r="45" customFormat="false" ht="63.75" hidden="false" customHeight="true" outlineLevel="0" collapsed="false">
      <c r="B45" s="11" t="s">
        <v>324</v>
      </c>
      <c r="C45" s="12" t="s">
        <v>49</v>
      </c>
      <c r="D45" s="13" t="s">
        <v>325</v>
      </c>
      <c r="E45" s="14" t="s">
        <v>326</v>
      </c>
      <c r="F45" s="5" t="s">
        <v>21</v>
      </c>
      <c r="G45" s="5" t="s">
        <v>71</v>
      </c>
    </row>
    <row r="46" customFormat="false" ht="49.5" hidden="false" customHeight="true" outlineLevel="0" collapsed="false">
      <c r="B46" s="15" t="s">
        <v>327</v>
      </c>
      <c r="C46" s="16" t="s">
        <v>49</v>
      </c>
      <c r="D46" s="17" t="s">
        <v>328</v>
      </c>
      <c r="E46" s="18" t="s">
        <v>329</v>
      </c>
      <c r="F46" s="7" t="s">
        <v>21</v>
      </c>
      <c r="G46" s="7" t="s">
        <v>71</v>
      </c>
    </row>
    <row r="47" customFormat="false" ht="63.75" hidden="false" customHeight="true" outlineLevel="0" collapsed="false">
      <c r="B47" s="11" t="s">
        <v>330</v>
      </c>
      <c r="C47" s="12" t="s">
        <v>49</v>
      </c>
      <c r="D47" s="13" t="s">
        <v>331</v>
      </c>
      <c r="E47" s="14" t="s">
        <v>332</v>
      </c>
      <c r="F47" s="5" t="s">
        <v>21</v>
      </c>
      <c r="G47" s="5" t="s">
        <v>74</v>
      </c>
    </row>
    <row r="48" customFormat="false" ht="49.5" hidden="false" customHeight="true" outlineLevel="0" collapsed="false">
      <c r="B48" s="15" t="s">
        <v>333</v>
      </c>
      <c r="C48" s="16" t="s">
        <v>49</v>
      </c>
      <c r="D48" s="17" t="s">
        <v>334</v>
      </c>
      <c r="E48" s="18" t="s">
        <v>335</v>
      </c>
      <c r="F48" s="7" t="s">
        <v>14</v>
      </c>
      <c r="G48" s="7" t="s">
        <v>74</v>
      </c>
    </row>
    <row r="49" customFormat="false" ht="63.75" hidden="false" customHeight="true" outlineLevel="0" collapsed="false">
      <c r="B49" s="11" t="s">
        <v>336</v>
      </c>
      <c r="C49" s="12" t="s">
        <v>50</v>
      </c>
      <c r="D49" s="13" t="s">
        <v>337</v>
      </c>
      <c r="E49" s="14" t="s">
        <v>338</v>
      </c>
      <c r="F49" s="5" t="s">
        <v>21</v>
      </c>
      <c r="G49" s="5" t="s">
        <v>71</v>
      </c>
    </row>
    <row r="50" customFormat="false" ht="63.75" hidden="false" customHeight="true" outlineLevel="0" collapsed="false">
      <c r="B50" s="15" t="s">
        <v>339</v>
      </c>
      <c r="C50" s="16" t="s">
        <v>50</v>
      </c>
      <c r="D50" s="17" t="s">
        <v>340</v>
      </c>
      <c r="E50" s="18" t="s">
        <v>341</v>
      </c>
      <c r="F50" s="7" t="s">
        <v>21</v>
      </c>
      <c r="G50" s="7" t="s">
        <v>71</v>
      </c>
    </row>
    <row r="51" customFormat="false" ht="63.75" hidden="false" customHeight="true" outlineLevel="0" collapsed="false">
      <c r="B51" s="11" t="s">
        <v>342</v>
      </c>
      <c r="C51" s="12" t="s">
        <v>54</v>
      </c>
      <c r="D51" s="13" t="s">
        <v>343</v>
      </c>
      <c r="E51" s="14" t="s">
        <v>344</v>
      </c>
      <c r="F51" s="5" t="s">
        <v>14</v>
      </c>
      <c r="G51" s="5" t="s">
        <v>74</v>
      </c>
    </row>
    <row r="52" customFormat="false" ht="49.5" hidden="false" customHeight="true" outlineLevel="0" collapsed="false">
      <c r="B52" s="15" t="s">
        <v>345</v>
      </c>
      <c r="C52" s="16" t="s">
        <v>61</v>
      </c>
      <c r="D52" s="17" t="s">
        <v>346</v>
      </c>
      <c r="E52" s="18" t="s">
        <v>347</v>
      </c>
      <c r="F52" s="7" t="s">
        <v>21</v>
      </c>
      <c r="G52" s="7" t="s">
        <v>71</v>
      </c>
    </row>
    <row r="53" customFormat="false" ht="49.5" hidden="false" customHeight="true" outlineLevel="0" collapsed="false">
      <c r="B53" s="11" t="s">
        <v>348</v>
      </c>
      <c r="C53" s="12" t="s">
        <v>56</v>
      </c>
      <c r="D53" s="13" t="s">
        <v>349</v>
      </c>
      <c r="E53" s="14" t="s">
        <v>350</v>
      </c>
      <c r="F53" s="5" t="s">
        <v>21</v>
      </c>
      <c r="G53" s="5" t="s">
        <v>74</v>
      </c>
    </row>
    <row r="54" customFormat="false" ht="63.75" hidden="false" customHeight="true" outlineLevel="0" collapsed="false">
      <c r="B54" s="15" t="s">
        <v>351</v>
      </c>
      <c r="C54" s="16" t="s">
        <v>58</v>
      </c>
      <c r="D54" s="17" t="s">
        <v>352</v>
      </c>
      <c r="E54" s="18" t="s">
        <v>353</v>
      </c>
      <c r="F54" s="7" t="s">
        <v>14</v>
      </c>
      <c r="G54" s="7" t="s">
        <v>74</v>
      </c>
    </row>
  </sheetData>
  <autoFilter ref="B4:G54"/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.5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62"/>
    <col collapsed="false" customWidth="true" hidden="false" outlineLevel="0" max="6" min="6" style="0" width="11"/>
    <col collapsed="false" customWidth="true" hidden="false" outlineLevel="0" max="7" min="7" style="0" width="14"/>
  </cols>
  <sheetData>
    <row r="1" customFormat="false" ht="15" hidden="false" customHeight="true" outlineLevel="0" collapsed="false"/>
    <row r="2" customFormat="false" ht="31.5" hidden="false" customHeight="true" outlineLevel="0" collapsed="false">
      <c r="B2" s="1" t="s">
        <v>354</v>
      </c>
      <c r="C2" s="1"/>
      <c r="D2" s="1"/>
      <c r="E2" s="1"/>
      <c r="F2" s="1"/>
      <c r="G2" s="1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24</v>
      </c>
      <c r="C4" s="3" t="s">
        <v>47</v>
      </c>
      <c r="D4" s="3" t="s">
        <v>25</v>
      </c>
      <c r="E4" s="3" t="s">
        <v>68</v>
      </c>
      <c r="F4" s="3" t="s">
        <v>20</v>
      </c>
      <c r="G4" s="3" t="s">
        <v>69</v>
      </c>
    </row>
    <row r="5" customFormat="false" ht="49.5" hidden="false" customHeight="true" outlineLevel="0" collapsed="false">
      <c r="B5" s="11" t="s">
        <v>355</v>
      </c>
      <c r="C5" s="12" t="s">
        <v>57</v>
      </c>
      <c r="D5" s="13" t="s">
        <v>356</v>
      </c>
      <c r="E5" s="14" t="s">
        <v>357</v>
      </c>
      <c r="F5" s="5" t="s">
        <v>21</v>
      </c>
      <c r="G5" s="5" t="s">
        <v>71</v>
      </c>
    </row>
    <row r="6" customFormat="false" ht="49.5" hidden="false" customHeight="true" outlineLevel="0" collapsed="false">
      <c r="B6" s="15" t="s">
        <v>358</v>
      </c>
      <c r="C6" s="16" t="s">
        <v>57</v>
      </c>
      <c r="D6" s="17" t="s">
        <v>359</v>
      </c>
      <c r="E6" s="18" t="s">
        <v>360</v>
      </c>
      <c r="F6" s="7" t="s">
        <v>21</v>
      </c>
      <c r="G6" s="7" t="s">
        <v>71</v>
      </c>
    </row>
    <row r="7" customFormat="false" ht="49.5" hidden="false" customHeight="true" outlineLevel="0" collapsed="false">
      <c r="B7" s="11" t="s">
        <v>361</v>
      </c>
      <c r="C7" s="12" t="s">
        <v>57</v>
      </c>
      <c r="D7" s="13" t="s">
        <v>362</v>
      </c>
      <c r="E7" s="14" t="s">
        <v>363</v>
      </c>
      <c r="F7" s="5" t="s">
        <v>21</v>
      </c>
      <c r="G7" s="5" t="s">
        <v>71</v>
      </c>
    </row>
    <row r="8" customFormat="false" ht="49.5" hidden="false" customHeight="true" outlineLevel="0" collapsed="false">
      <c r="B8" s="15" t="s">
        <v>364</v>
      </c>
      <c r="C8" s="16" t="s">
        <v>57</v>
      </c>
      <c r="D8" s="17" t="s">
        <v>365</v>
      </c>
      <c r="E8" s="18" t="s">
        <v>366</v>
      </c>
      <c r="F8" s="7" t="s">
        <v>21</v>
      </c>
      <c r="G8" s="7" t="s">
        <v>71</v>
      </c>
    </row>
    <row r="9" customFormat="false" ht="49.5" hidden="false" customHeight="true" outlineLevel="0" collapsed="false">
      <c r="B9" s="11" t="s">
        <v>367</v>
      </c>
      <c r="C9" s="12" t="s">
        <v>57</v>
      </c>
      <c r="D9" s="13" t="s">
        <v>368</v>
      </c>
      <c r="E9" s="14" t="s">
        <v>369</v>
      </c>
      <c r="F9" s="5" t="s">
        <v>21</v>
      </c>
      <c r="G9" s="5" t="s">
        <v>71</v>
      </c>
    </row>
    <row r="10" customFormat="false" ht="49.5" hidden="false" customHeight="true" outlineLevel="0" collapsed="false">
      <c r="B10" s="15" t="s">
        <v>370</v>
      </c>
      <c r="C10" s="16" t="s">
        <v>57</v>
      </c>
      <c r="D10" s="17" t="s">
        <v>371</v>
      </c>
      <c r="E10" s="18" t="s">
        <v>372</v>
      </c>
      <c r="F10" s="7" t="s">
        <v>21</v>
      </c>
      <c r="G10" s="7" t="s">
        <v>71</v>
      </c>
    </row>
    <row r="11" customFormat="false" ht="49.5" hidden="false" customHeight="true" outlineLevel="0" collapsed="false">
      <c r="B11" s="11" t="s">
        <v>373</v>
      </c>
      <c r="C11" s="12" t="s">
        <v>57</v>
      </c>
      <c r="D11" s="13" t="s">
        <v>374</v>
      </c>
      <c r="E11" s="14" t="s">
        <v>375</v>
      </c>
      <c r="F11" s="5" t="s">
        <v>21</v>
      </c>
      <c r="G11" s="5" t="s">
        <v>71</v>
      </c>
    </row>
    <row r="12" customFormat="false" ht="49.5" hidden="false" customHeight="true" outlineLevel="0" collapsed="false">
      <c r="B12" s="15" t="s">
        <v>376</v>
      </c>
      <c r="C12" s="16" t="s">
        <v>57</v>
      </c>
      <c r="D12" s="17" t="s">
        <v>377</v>
      </c>
      <c r="E12" s="18" t="s">
        <v>378</v>
      </c>
      <c r="F12" s="7" t="s">
        <v>21</v>
      </c>
      <c r="G12" s="7" t="s">
        <v>74</v>
      </c>
    </row>
    <row r="13" customFormat="false" ht="49.5" hidden="false" customHeight="true" outlineLevel="0" collapsed="false">
      <c r="B13" s="11" t="s">
        <v>379</v>
      </c>
      <c r="C13" s="12" t="s">
        <v>57</v>
      </c>
      <c r="D13" s="13" t="s">
        <v>380</v>
      </c>
      <c r="E13" s="14" t="s">
        <v>381</v>
      </c>
      <c r="F13" s="5" t="s">
        <v>21</v>
      </c>
      <c r="G13" s="5" t="s">
        <v>74</v>
      </c>
    </row>
    <row r="14" customFormat="false" ht="49.5" hidden="false" customHeight="true" outlineLevel="0" collapsed="false">
      <c r="B14" s="15" t="s">
        <v>382</v>
      </c>
      <c r="C14" s="16" t="s">
        <v>57</v>
      </c>
      <c r="D14" s="17" t="s">
        <v>383</v>
      </c>
      <c r="E14" s="18" t="s">
        <v>384</v>
      </c>
      <c r="F14" s="7" t="s">
        <v>21</v>
      </c>
      <c r="G14" s="7" t="s">
        <v>71</v>
      </c>
    </row>
    <row r="15" customFormat="false" ht="49.5" hidden="false" customHeight="true" outlineLevel="0" collapsed="false">
      <c r="B15" s="11" t="s">
        <v>385</v>
      </c>
      <c r="C15" s="12" t="s">
        <v>57</v>
      </c>
      <c r="D15" s="13" t="s">
        <v>386</v>
      </c>
      <c r="E15" s="14" t="s">
        <v>387</v>
      </c>
      <c r="F15" s="5" t="s">
        <v>21</v>
      </c>
      <c r="G15" s="5" t="s">
        <v>74</v>
      </c>
    </row>
    <row r="16" customFormat="false" ht="49.5" hidden="false" customHeight="true" outlineLevel="0" collapsed="false">
      <c r="B16" s="15" t="s">
        <v>388</v>
      </c>
      <c r="C16" s="16" t="s">
        <v>57</v>
      </c>
      <c r="D16" s="17" t="s">
        <v>389</v>
      </c>
      <c r="E16" s="18" t="s">
        <v>390</v>
      </c>
      <c r="F16" s="7" t="s">
        <v>21</v>
      </c>
      <c r="G16" s="7" t="s">
        <v>74</v>
      </c>
    </row>
    <row r="17" customFormat="false" ht="49.5" hidden="false" customHeight="true" outlineLevel="0" collapsed="false">
      <c r="B17" s="11" t="s">
        <v>391</v>
      </c>
      <c r="C17" s="12" t="s">
        <v>57</v>
      </c>
      <c r="D17" s="13" t="s">
        <v>392</v>
      </c>
      <c r="E17" s="14" t="s">
        <v>393</v>
      </c>
      <c r="F17" s="5" t="s">
        <v>21</v>
      </c>
      <c r="G17" s="5" t="s">
        <v>74</v>
      </c>
    </row>
    <row r="18" customFormat="false" ht="49.5" hidden="false" customHeight="true" outlineLevel="0" collapsed="false">
      <c r="B18" s="15" t="s">
        <v>394</v>
      </c>
      <c r="C18" s="16" t="s">
        <v>57</v>
      </c>
      <c r="D18" s="17" t="s">
        <v>395</v>
      </c>
      <c r="E18" s="18" t="s">
        <v>396</v>
      </c>
      <c r="F18" s="7" t="s">
        <v>21</v>
      </c>
      <c r="G18" s="7" t="s">
        <v>74</v>
      </c>
    </row>
    <row r="19" customFormat="false" ht="49.5" hidden="false" customHeight="true" outlineLevel="0" collapsed="false">
      <c r="B19" s="11" t="s">
        <v>397</v>
      </c>
      <c r="C19" s="12" t="s">
        <v>62</v>
      </c>
      <c r="D19" s="13" t="s">
        <v>398</v>
      </c>
      <c r="E19" s="14" t="s">
        <v>399</v>
      </c>
      <c r="F19" s="5" t="s">
        <v>21</v>
      </c>
      <c r="G19" s="5" t="s">
        <v>74</v>
      </c>
    </row>
    <row r="20" customFormat="false" ht="49.5" hidden="false" customHeight="true" outlineLevel="0" collapsed="false">
      <c r="B20" s="15" t="s">
        <v>400</v>
      </c>
      <c r="C20" s="16" t="s">
        <v>62</v>
      </c>
      <c r="D20" s="17" t="s">
        <v>401</v>
      </c>
      <c r="E20" s="18" t="s">
        <v>402</v>
      </c>
      <c r="F20" s="7" t="s">
        <v>21</v>
      </c>
      <c r="G20" s="7" t="s">
        <v>71</v>
      </c>
    </row>
    <row r="21" customFormat="false" ht="49.5" hidden="false" customHeight="true" outlineLevel="0" collapsed="false">
      <c r="B21" s="11" t="s">
        <v>403</v>
      </c>
      <c r="C21" s="12" t="s">
        <v>62</v>
      </c>
      <c r="D21" s="13" t="s">
        <v>404</v>
      </c>
      <c r="E21" s="14" t="s">
        <v>405</v>
      </c>
      <c r="F21" s="5" t="s">
        <v>21</v>
      </c>
      <c r="G21" s="5" t="s">
        <v>71</v>
      </c>
    </row>
    <row r="22" customFormat="false" ht="49.5" hidden="false" customHeight="true" outlineLevel="0" collapsed="false">
      <c r="B22" s="15" t="s">
        <v>406</v>
      </c>
      <c r="C22" s="16" t="s">
        <v>62</v>
      </c>
      <c r="D22" s="17" t="s">
        <v>407</v>
      </c>
      <c r="E22" s="18" t="s">
        <v>408</v>
      </c>
      <c r="F22" s="7" t="s">
        <v>21</v>
      </c>
      <c r="G22" s="7" t="s">
        <v>71</v>
      </c>
    </row>
    <row r="23" customFormat="false" ht="49.5" hidden="false" customHeight="true" outlineLevel="0" collapsed="false">
      <c r="B23" s="11" t="s">
        <v>409</v>
      </c>
      <c r="C23" s="12" t="s">
        <v>62</v>
      </c>
      <c r="D23" s="13" t="s">
        <v>410</v>
      </c>
      <c r="E23" s="14" t="s">
        <v>411</v>
      </c>
      <c r="F23" s="5" t="s">
        <v>21</v>
      </c>
      <c r="G23" s="5" t="s">
        <v>74</v>
      </c>
    </row>
    <row r="24" customFormat="false" ht="49.5" hidden="false" customHeight="true" outlineLevel="0" collapsed="false">
      <c r="B24" s="15" t="s">
        <v>412</v>
      </c>
      <c r="C24" s="16" t="s">
        <v>61</v>
      </c>
      <c r="D24" s="17" t="s">
        <v>413</v>
      </c>
      <c r="E24" s="18" t="s">
        <v>414</v>
      </c>
      <c r="F24" s="7" t="s">
        <v>21</v>
      </c>
      <c r="G24" s="7" t="s">
        <v>71</v>
      </c>
    </row>
    <row r="25" customFormat="false" ht="49.5" hidden="false" customHeight="true" outlineLevel="0" collapsed="false">
      <c r="B25" s="11" t="s">
        <v>415</v>
      </c>
      <c r="C25" s="12" t="s">
        <v>61</v>
      </c>
      <c r="D25" s="13" t="s">
        <v>416</v>
      </c>
      <c r="E25" s="14" t="s">
        <v>417</v>
      </c>
      <c r="F25" s="5" t="s">
        <v>21</v>
      </c>
      <c r="G25" s="5" t="s">
        <v>74</v>
      </c>
    </row>
    <row r="26" customFormat="false" ht="49.5" hidden="false" customHeight="true" outlineLevel="0" collapsed="false">
      <c r="B26" s="15" t="s">
        <v>418</v>
      </c>
      <c r="C26" s="16" t="s">
        <v>60</v>
      </c>
      <c r="D26" s="17" t="s">
        <v>419</v>
      </c>
      <c r="E26" s="18" t="s">
        <v>420</v>
      </c>
      <c r="F26" s="7" t="s">
        <v>21</v>
      </c>
      <c r="G26" s="7" t="s">
        <v>85</v>
      </c>
    </row>
    <row r="27" customFormat="false" ht="49.5" hidden="false" customHeight="true" outlineLevel="0" collapsed="false">
      <c r="B27" s="11" t="s">
        <v>421</v>
      </c>
      <c r="C27" s="12" t="s">
        <v>60</v>
      </c>
      <c r="D27" s="13" t="s">
        <v>422</v>
      </c>
      <c r="E27" s="14" t="s">
        <v>423</v>
      </c>
      <c r="F27" s="5" t="s">
        <v>21</v>
      </c>
      <c r="G27" s="5" t="s">
        <v>71</v>
      </c>
    </row>
    <row r="28" customFormat="false" ht="49.5" hidden="false" customHeight="true" outlineLevel="0" collapsed="false">
      <c r="B28" s="15" t="s">
        <v>424</v>
      </c>
      <c r="C28" s="16" t="s">
        <v>60</v>
      </c>
      <c r="D28" s="17" t="s">
        <v>425</v>
      </c>
      <c r="E28" s="18" t="s">
        <v>426</v>
      </c>
      <c r="F28" s="7" t="s">
        <v>21</v>
      </c>
      <c r="G28" s="7" t="s">
        <v>71</v>
      </c>
    </row>
    <row r="29" customFormat="false" ht="49.5" hidden="false" customHeight="true" outlineLevel="0" collapsed="false">
      <c r="B29" s="11" t="s">
        <v>427</v>
      </c>
      <c r="C29" s="12" t="s">
        <v>60</v>
      </c>
      <c r="D29" s="13" t="s">
        <v>428</v>
      </c>
      <c r="E29" s="14" t="s">
        <v>429</v>
      </c>
      <c r="F29" s="5" t="s">
        <v>21</v>
      </c>
      <c r="G29" s="5" t="s">
        <v>71</v>
      </c>
    </row>
    <row r="30" customFormat="false" ht="49.5" hidden="false" customHeight="true" outlineLevel="0" collapsed="false">
      <c r="B30" s="15" t="s">
        <v>430</v>
      </c>
      <c r="C30" s="16" t="s">
        <v>60</v>
      </c>
      <c r="D30" s="17" t="s">
        <v>431</v>
      </c>
      <c r="E30" s="18" t="s">
        <v>432</v>
      </c>
      <c r="F30" s="7" t="s">
        <v>21</v>
      </c>
      <c r="G30" s="7" t="s">
        <v>71</v>
      </c>
    </row>
    <row r="31" customFormat="false" ht="49.5" hidden="false" customHeight="true" outlineLevel="0" collapsed="false">
      <c r="B31" s="11" t="s">
        <v>433</v>
      </c>
      <c r="C31" s="12" t="s">
        <v>64</v>
      </c>
      <c r="D31" s="13" t="s">
        <v>434</v>
      </c>
      <c r="E31" s="14" t="s">
        <v>435</v>
      </c>
      <c r="F31" s="5" t="s">
        <v>21</v>
      </c>
      <c r="G31" s="5" t="s">
        <v>74</v>
      </c>
    </row>
    <row r="32" customFormat="false" ht="49.5" hidden="false" customHeight="true" outlineLevel="0" collapsed="false">
      <c r="B32" s="15" t="s">
        <v>436</v>
      </c>
      <c r="C32" s="16" t="s">
        <v>64</v>
      </c>
      <c r="D32" s="17" t="s">
        <v>437</v>
      </c>
      <c r="E32" s="18" t="s">
        <v>438</v>
      </c>
      <c r="F32" s="7" t="s">
        <v>21</v>
      </c>
      <c r="G32" s="7" t="s">
        <v>74</v>
      </c>
    </row>
    <row r="33" customFormat="false" ht="49.5" hidden="false" customHeight="true" outlineLevel="0" collapsed="false">
      <c r="B33" s="11" t="s">
        <v>439</v>
      </c>
      <c r="C33" s="12" t="s">
        <v>64</v>
      </c>
      <c r="D33" s="13" t="s">
        <v>440</v>
      </c>
      <c r="E33" s="14" t="s">
        <v>441</v>
      </c>
      <c r="F33" s="5" t="s">
        <v>21</v>
      </c>
      <c r="G33" s="5" t="s">
        <v>71</v>
      </c>
    </row>
    <row r="34" customFormat="false" ht="49.5" hidden="false" customHeight="true" outlineLevel="0" collapsed="false">
      <c r="B34" s="15" t="s">
        <v>442</v>
      </c>
      <c r="C34" s="16" t="s">
        <v>64</v>
      </c>
      <c r="D34" s="17" t="s">
        <v>443</v>
      </c>
      <c r="E34" s="18" t="s">
        <v>444</v>
      </c>
      <c r="F34" s="7" t="s">
        <v>21</v>
      </c>
      <c r="G34" s="7" t="s">
        <v>85</v>
      </c>
    </row>
    <row r="35" customFormat="false" ht="49.5" hidden="false" customHeight="true" outlineLevel="0" collapsed="false">
      <c r="B35" s="11" t="s">
        <v>445</v>
      </c>
      <c r="C35" s="12" t="s">
        <v>64</v>
      </c>
      <c r="D35" s="13" t="s">
        <v>446</v>
      </c>
      <c r="E35" s="14" t="s">
        <v>447</v>
      </c>
      <c r="F35" s="5" t="s">
        <v>21</v>
      </c>
      <c r="G35" s="5" t="s">
        <v>74</v>
      </c>
    </row>
    <row r="36" customFormat="false" ht="49.5" hidden="false" customHeight="true" outlineLevel="0" collapsed="false">
      <c r="B36" s="15" t="s">
        <v>448</v>
      </c>
      <c r="C36" s="16" t="s">
        <v>64</v>
      </c>
      <c r="D36" s="17" t="s">
        <v>449</v>
      </c>
      <c r="E36" s="18" t="s">
        <v>450</v>
      </c>
      <c r="F36" s="7" t="s">
        <v>21</v>
      </c>
      <c r="G36" s="7" t="s">
        <v>74</v>
      </c>
    </row>
    <row r="37" customFormat="false" ht="49.5" hidden="false" customHeight="true" outlineLevel="0" collapsed="false">
      <c r="B37" s="11" t="s">
        <v>451</v>
      </c>
      <c r="C37" s="12" t="s">
        <v>64</v>
      </c>
      <c r="D37" s="13" t="s">
        <v>452</v>
      </c>
      <c r="E37" s="14" t="s">
        <v>453</v>
      </c>
      <c r="F37" s="5" t="s">
        <v>21</v>
      </c>
      <c r="G37" s="5" t="s">
        <v>74</v>
      </c>
    </row>
    <row r="38" customFormat="false" ht="49.5" hidden="false" customHeight="true" outlineLevel="0" collapsed="false">
      <c r="B38" s="15" t="s">
        <v>454</v>
      </c>
      <c r="C38" s="16" t="s">
        <v>64</v>
      </c>
      <c r="D38" s="17" t="s">
        <v>455</v>
      </c>
      <c r="E38" s="18" t="s">
        <v>456</v>
      </c>
      <c r="F38" s="7" t="s">
        <v>21</v>
      </c>
      <c r="G38" s="7" t="s">
        <v>85</v>
      </c>
    </row>
    <row r="39" customFormat="false" ht="49.5" hidden="false" customHeight="true" outlineLevel="0" collapsed="false">
      <c r="B39" s="11" t="s">
        <v>457</v>
      </c>
      <c r="C39" s="12" t="s">
        <v>63</v>
      </c>
      <c r="D39" s="13" t="s">
        <v>458</v>
      </c>
      <c r="E39" s="14" t="s">
        <v>459</v>
      </c>
      <c r="F39" s="5" t="s">
        <v>21</v>
      </c>
      <c r="G39" s="5" t="s">
        <v>71</v>
      </c>
    </row>
    <row r="40" customFormat="false" ht="49.5" hidden="false" customHeight="true" outlineLevel="0" collapsed="false">
      <c r="B40" s="15" t="s">
        <v>460</v>
      </c>
      <c r="C40" s="16" t="s">
        <v>63</v>
      </c>
      <c r="D40" s="17" t="s">
        <v>461</v>
      </c>
      <c r="E40" s="18" t="s">
        <v>462</v>
      </c>
      <c r="F40" s="7" t="s">
        <v>21</v>
      </c>
      <c r="G40" s="7" t="s">
        <v>74</v>
      </c>
    </row>
    <row r="41" customFormat="false" ht="49.5" hidden="false" customHeight="true" outlineLevel="0" collapsed="false">
      <c r="B41" s="11" t="s">
        <v>463</v>
      </c>
      <c r="C41" s="12" t="s">
        <v>65</v>
      </c>
      <c r="D41" s="13" t="s">
        <v>464</v>
      </c>
      <c r="E41" s="14" t="s">
        <v>465</v>
      </c>
      <c r="F41" s="5" t="s">
        <v>21</v>
      </c>
      <c r="G41" s="5" t="s">
        <v>71</v>
      </c>
    </row>
    <row r="42" customFormat="false" ht="49.5" hidden="false" customHeight="true" outlineLevel="0" collapsed="false">
      <c r="B42" s="15" t="s">
        <v>466</v>
      </c>
      <c r="C42" s="16" t="s">
        <v>65</v>
      </c>
      <c r="D42" s="17" t="s">
        <v>467</v>
      </c>
      <c r="E42" s="18" t="s">
        <v>468</v>
      </c>
      <c r="F42" s="7" t="s">
        <v>21</v>
      </c>
      <c r="G42" s="7" t="s">
        <v>74</v>
      </c>
    </row>
    <row r="43" customFormat="false" ht="49.5" hidden="false" customHeight="true" outlineLevel="0" collapsed="false">
      <c r="B43" s="11" t="s">
        <v>469</v>
      </c>
      <c r="C43" s="12" t="s">
        <v>48</v>
      </c>
      <c r="D43" s="13" t="s">
        <v>470</v>
      </c>
      <c r="E43" s="14" t="s">
        <v>471</v>
      </c>
      <c r="F43" s="5" t="s">
        <v>21</v>
      </c>
      <c r="G43" s="5" t="s">
        <v>74</v>
      </c>
    </row>
    <row r="44" customFormat="false" ht="49.5" hidden="false" customHeight="true" outlineLevel="0" collapsed="false">
      <c r="B44" s="15" t="s">
        <v>472</v>
      </c>
      <c r="C44" s="16" t="s">
        <v>48</v>
      </c>
      <c r="D44" s="17" t="s">
        <v>473</v>
      </c>
      <c r="E44" s="18" t="s">
        <v>474</v>
      </c>
      <c r="F44" s="7" t="s">
        <v>21</v>
      </c>
      <c r="G44" s="7" t="s">
        <v>71</v>
      </c>
    </row>
    <row r="45" customFormat="false" ht="49.5" hidden="false" customHeight="true" outlineLevel="0" collapsed="false">
      <c r="B45" s="11" t="s">
        <v>475</v>
      </c>
      <c r="C45" s="12" t="s">
        <v>55</v>
      </c>
      <c r="D45" s="13" t="s">
        <v>476</v>
      </c>
      <c r="E45" s="14" t="s">
        <v>477</v>
      </c>
      <c r="F45" s="5" t="s">
        <v>21</v>
      </c>
      <c r="G45" s="5" t="s">
        <v>71</v>
      </c>
    </row>
    <row r="46" customFormat="false" ht="49.5" hidden="false" customHeight="true" outlineLevel="0" collapsed="false">
      <c r="B46" s="15" t="s">
        <v>478</v>
      </c>
      <c r="C46" s="16" t="s">
        <v>50</v>
      </c>
      <c r="D46" s="17" t="s">
        <v>479</v>
      </c>
      <c r="E46" s="18" t="s">
        <v>480</v>
      </c>
      <c r="F46" s="7" t="s">
        <v>21</v>
      </c>
      <c r="G46" s="7" t="s">
        <v>71</v>
      </c>
    </row>
    <row r="47" customFormat="false" ht="49.5" hidden="false" customHeight="true" outlineLevel="0" collapsed="false">
      <c r="B47" s="11" t="s">
        <v>481</v>
      </c>
      <c r="C47" s="12" t="s">
        <v>50</v>
      </c>
      <c r="D47" s="13" t="s">
        <v>482</v>
      </c>
      <c r="E47" s="14" t="s">
        <v>483</v>
      </c>
      <c r="F47" s="5" t="s">
        <v>21</v>
      </c>
      <c r="G47" s="5" t="s">
        <v>71</v>
      </c>
    </row>
    <row r="48" customFormat="false" ht="49.5" hidden="false" customHeight="true" outlineLevel="0" collapsed="false">
      <c r="B48" s="15" t="s">
        <v>484</v>
      </c>
      <c r="C48" s="16" t="s">
        <v>50</v>
      </c>
      <c r="D48" s="17" t="s">
        <v>485</v>
      </c>
      <c r="E48" s="18" t="s">
        <v>486</v>
      </c>
      <c r="F48" s="7" t="s">
        <v>21</v>
      </c>
      <c r="G48" s="7" t="s">
        <v>71</v>
      </c>
    </row>
    <row r="49" customFormat="false" ht="63.75" hidden="false" customHeight="true" outlineLevel="0" collapsed="false">
      <c r="B49" s="11" t="s">
        <v>487</v>
      </c>
      <c r="C49" s="12" t="s">
        <v>48</v>
      </c>
      <c r="D49" s="13" t="s">
        <v>488</v>
      </c>
      <c r="E49" s="14" t="s">
        <v>489</v>
      </c>
      <c r="F49" s="5" t="s">
        <v>21</v>
      </c>
      <c r="G49" s="5" t="s">
        <v>74</v>
      </c>
    </row>
    <row r="50" customFormat="false" ht="49.5" hidden="false" customHeight="true" outlineLevel="0" collapsed="false">
      <c r="B50" s="15" t="s">
        <v>490</v>
      </c>
      <c r="C50" s="16" t="s">
        <v>53</v>
      </c>
      <c r="D50" s="17" t="s">
        <v>491</v>
      </c>
      <c r="E50" s="18" t="s">
        <v>492</v>
      </c>
      <c r="F50" s="7" t="s">
        <v>21</v>
      </c>
      <c r="G50" s="7" t="s">
        <v>71</v>
      </c>
    </row>
    <row r="51" customFormat="false" ht="49.5" hidden="false" customHeight="true" outlineLevel="0" collapsed="false">
      <c r="B51" s="11" t="s">
        <v>493</v>
      </c>
      <c r="C51" s="12" t="s">
        <v>53</v>
      </c>
      <c r="D51" s="13" t="s">
        <v>494</v>
      </c>
      <c r="E51" s="14" t="s">
        <v>495</v>
      </c>
      <c r="F51" s="5" t="s">
        <v>21</v>
      </c>
      <c r="G51" s="5" t="s">
        <v>74</v>
      </c>
    </row>
    <row r="52" customFormat="false" ht="49.5" hidden="false" customHeight="true" outlineLevel="0" collapsed="false">
      <c r="B52" s="15" t="s">
        <v>496</v>
      </c>
      <c r="C52" s="16" t="s">
        <v>53</v>
      </c>
      <c r="D52" s="17" t="s">
        <v>497</v>
      </c>
      <c r="E52" s="18" t="s">
        <v>498</v>
      </c>
      <c r="F52" s="7" t="s">
        <v>21</v>
      </c>
      <c r="G52" s="7" t="s">
        <v>71</v>
      </c>
    </row>
    <row r="53" customFormat="false" ht="49.5" hidden="false" customHeight="true" outlineLevel="0" collapsed="false">
      <c r="B53" s="11" t="s">
        <v>499</v>
      </c>
      <c r="C53" s="12" t="s">
        <v>53</v>
      </c>
      <c r="D53" s="13" t="s">
        <v>500</v>
      </c>
      <c r="E53" s="14" t="s">
        <v>501</v>
      </c>
      <c r="F53" s="5" t="s">
        <v>21</v>
      </c>
      <c r="G53" s="5" t="s">
        <v>71</v>
      </c>
    </row>
    <row r="54" customFormat="false" ht="49.5" hidden="false" customHeight="true" outlineLevel="0" collapsed="false">
      <c r="B54" s="15" t="s">
        <v>502</v>
      </c>
      <c r="C54" s="16" t="s">
        <v>59</v>
      </c>
      <c r="D54" s="17" t="s">
        <v>503</v>
      </c>
      <c r="E54" s="18" t="s">
        <v>504</v>
      </c>
      <c r="F54" s="7" t="s">
        <v>21</v>
      </c>
      <c r="G54" s="7" t="s">
        <v>71</v>
      </c>
    </row>
  </sheetData>
  <autoFilter ref="B4:G54"/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2026-10-19T03:57:35Z</dcterms:created>
  <dc:creator>Z.ai</dc:creator>
  <dc:description/>
  <dc:language>en-US</dc:language>
  <cp:lastModifiedBy/>
  <dcterms:modified xsi:type="dcterms:W3CDTF">2026-10-19T03:57:35Z</dcterms:modified>
  <cp:revision>0</cp:revision>
  <dc:subject/>
  <dc:title>Conta Comigo — Levantamento de 150 Melhorias (edição 2026)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