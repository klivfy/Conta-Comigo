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Alto impacto (250)" sheetId="2" state="visible" r:id="rId4"/>
    <sheet name="Médio impacto (250)" sheetId="3" state="visible" r:id="rId5"/>
    <sheet name="Baixo impacto (250)" sheetId="4" state="visible" r:id="rId6"/>
  </sheets>
  <definedNames>
    <definedName function="false" hidden="false" localSheetId="1" name="_xlnm.Print_Titles" vbProcedure="false">'Alto impacto (250)'!$4:$4</definedName>
    <definedName function="false" hidden="true" localSheetId="1" name="_xlnm._FilterDatabase" vbProcedure="false">'Alto impacto (250)'!$B$4:$G$254</definedName>
    <definedName function="false" hidden="false" localSheetId="3" name="_xlnm.Print_Titles" vbProcedure="false">'Baixo impacto (250)'!$4:$4</definedName>
    <definedName function="false" hidden="true" localSheetId="3" name="_xlnm._FilterDatabase" vbProcedure="false">'Baixo impacto (250)'!$B$4:$G$254</definedName>
    <definedName function="false" hidden="false" localSheetId="2" name="_xlnm.Print_Titles" vbProcedure="false">'Médio impacto (250)'!$4:$4</definedName>
    <definedName function="false" hidden="true" localSheetId="2" name="_xlnm._FilterDatabase" vbProcedure="false">'Médio impacto (250)'!$B$4:$G$254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<sst xmlns="http://schemas.openxmlformats.org/spreadsheetml/2006/main" count="4598" uniqueCount="2308">
  <si>
    <t xml:space="preserve">Conta Comigo — Levantamento de 750 Melhorias</t>
  </si>
  <si>
    <t xml:space="preserve">Metodologia: levantamento original elaborado em outubro de 2026 para o aplicativo Conta Comigo (extensão</t>
  </si>
  <si>
    <t xml:space="preserve">Chromium + Firefox de matemática lúdica para crianças a partir de 4 anos). Cada item traz domínio, título,</t>
  </si>
  <si>
    <t xml:space="preserve">descrição, esforço estimado (Pequeno/Médio/Grande) e faixa de versão sugerida (v2.4-v2.5 curto prazo,</t>
  </si>
  <si>
    <t xml:space="preserve">v2.6-v2.9 médio prazo, v3.x longo prazo, Futuro = ideia a validar). Use os filtros das abas para cruzar</t>
  </si>
  <si>
    <t xml:space="preserve">domínio x esforço x faixa. Itens já entregues nas versões até 2.3.0 não foram repetidos de propósito.</t>
  </si>
  <si>
    <t xml:space="preserve">Impacto</t>
  </si>
  <si>
    <t xml:space="preserve">Itens</t>
  </si>
  <si>
    <t xml:space="preserve">Domínios</t>
  </si>
  <si>
    <t xml:space="preserve">Aba</t>
  </si>
  <si>
    <t xml:space="preserve">Alto</t>
  </si>
  <si>
    <t xml:space="preserve">Alto impacto (250)</t>
  </si>
  <si>
    <t xml:space="preserve">Médio</t>
  </si>
  <si>
    <t xml:space="preserve">Médio impacto (250)</t>
  </si>
  <si>
    <t xml:space="preserve">Baixo</t>
  </si>
  <si>
    <t xml:space="preserve">Baixo impacto (250)</t>
  </si>
  <si>
    <t xml:space="preserve">Total</t>
  </si>
  <si>
    <t xml:space="preserve">Esforço × Impacto (contagem de itens)</t>
  </si>
  <si>
    <t xml:space="preserve">Esforço</t>
  </si>
  <si>
    <t xml:space="preserve">Pequeno</t>
  </si>
  <si>
    <t xml:space="preserve">Grande</t>
  </si>
  <si>
    <t xml:space="preserve">Domínios por impacto</t>
  </si>
  <si>
    <t xml:space="preserve">Domínio</t>
  </si>
  <si>
    <t xml:space="preserve">Acessibilidade e Inclusão</t>
  </si>
  <si>
    <t xml:space="preserve">Adaptatividade e IA</t>
  </si>
  <si>
    <t xml:space="preserve">Controle Parental e Família</t>
  </si>
  <si>
    <t xml:space="preserve">Gamificação e Motivação</t>
  </si>
  <si>
    <t xml:space="preserve">Pedagogia e Currículo</t>
  </si>
  <si>
    <t xml:space="preserve">Plataforma e Arquitetura</t>
  </si>
  <si>
    <t xml:space="preserve">Relatórios e Acompanhamento</t>
  </si>
  <si>
    <t xml:space="preserve">Segurança e Privacidade</t>
  </si>
  <si>
    <t xml:space="preserve">Voz, Som e Narração</t>
  </si>
  <si>
    <t xml:space="preserve">Desempenho e Estabilidade</t>
  </si>
  <si>
    <t xml:space="preserve">Interface e Navegação</t>
  </si>
  <si>
    <t xml:space="preserve">Internacionalização</t>
  </si>
  <si>
    <t xml:space="preserve">Modos de Jogo e Conteúdo</t>
  </si>
  <si>
    <t xml:space="preserve">Offline, Sincronização e Dados</t>
  </si>
  <si>
    <t xml:space="preserve">Onboarding e Ajuda</t>
  </si>
  <si>
    <t xml:space="preserve">Progressão, Recompensas e Loja</t>
  </si>
  <si>
    <t xml:space="preserve">Social Seguro</t>
  </si>
  <si>
    <t xml:space="preserve">Configurações Avançadas</t>
  </si>
  <si>
    <t xml:space="preserve">Diversão e Easter Eggs</t>
  </si>
  <si>
    <t xml:space="preserve">Ideias Criativas</t>
  </si>
  <si>
    <t xml:space="preserve">Polimento Visual</t>
  </si>
  <si>
    <t xml:space="preserve">Qualidade e Ferramentas</t>
  </si>
  <si>
    <t xml:space="preserve">Temas e Cosméticos</t>
  </si>
  <si>
    <t xml:space="preserve">Gerado em 19/10/2026 · Fonte: levantamento pedido pelos responsáveis pelo projeto (250 alto + 250 médio + 250 baixo).</t>
  </si>
  <si>
    <t xml:space="preserve">Melhorias de alto impacto — 250 itens</t>
  </si>
  <si>
    <t xml:space="preserve">ID</t>
  </si>
  <si>
    <t xml:space="preserve">Melhoria</t>
  </si>
  <si>
    <t xml:space="preserve">Descrição</t>
  </si>
  <si>
    <t xml:space="preserve">Faixa sugerida</t>
  </si>
  <si>
    <t xml:space="preserve">A-001</t>
  </si>
  <si>
    <t xml:space="preserve">Trilha curricular por idade</t>
  </si>
  <si>
    <t xml:space="preserve">Sequência de modos sugerida por faixa etária (4-5, 6-7, 8-10+), guiando a criança do reconhecimento de quantidades até a tabuada, com trilha visual clicável na tela inicial.</t>
  </si>
  <si>
    <t xml:space="preserve">v2.6-v2.9</t>
  </si>
  <si>
    <t xml:space="preserve">A-002</t>
  </si>
  <si>
    <t xml:space="preserve">Números até 100</t>
  </si>
  <si>
    <t xml:space="preserve">Novo bloco de conteúdo com dezenas e unidades visuais (barras de 10), ampliando a contagem além de 20 nos níveis altos.</t>
  </si>
  <si>
    <t xml:space="preserve">A-003</t>
  </si>
  <si>
    <t xml:space="preserve">Valor posicional</t>
  </si>
  <si>
    <t xml:space="preserve">Questões de dezenas e unidades (quantas dezenas há em 34) com visual de blocos base-10 para consolidar o sistema decimal.</t>
  </si>
  <si>
    <t xml:space="preserve">v3.x</t>
  </si>
  <si>
    <t xml:space="preserve">A-004</t>
  </si>
  <si>
    <t xml:space="preserve">Tabela de números de 1 a 100</t>
  </si>
  <si>
    <t xml:space="preserve">Quadro interativo de centena tocável na tela inicial, onde a criança explora padrões (pares, ímpares, dezenas) livremente.</t>
  </si>
  <si>
    <t xml:space="preserve">A-005</t>
  </si>
  <si>
    <t xml:space="preserve">Contar de 2 em 2, de 5 em 5</t>
  </si>
  <si>
    <t xml:space="preserve">Modo de contagens saltitantes com trilha de sapinhos pulando, preparando multiplicação e frações.</t>
  </si>
  <si>
    <t xml:space="preserve">A-006</t>
  </si>
  <si>
    <t xml:space="preserve">Frações visuais iniciais</t>
  </si>
  <si>
    <t xml:space="preserve">Pizza e barras divididas em partes iguais: metade, terço, quarto com coloração interativa, como fundação para frações.</t>
  </si>
  <si>
    <t xml:space="preserve">A-007</t>
  </si>
  <si>
    <t xml:space="preserve">Relógio e horas cheias</t>
  </si>
  <si>
    <t xml:space="preserve">Modo de reconhecer horas no relógio analógico tocável (mover ponteiros) e depois meias horas.</t>
  </si>
  <si>
    <t xml:space="preserve">A-008</t>
  </si>
  <si>
    <t xml:space="preserve">Medidas simples</t>
  </si>
  <si>
    <t xml:space="preserve">Comparar comprimentos e pesos com objetos ilustrados (mais alto, mais pesado), ampliando o modo Comparar.</t>
  </si>
  <si>
    <t xml:space="preserve">A-009</t>
  </si>
  <si>
    <t xml:space="preserve">Formas geométricas</t>
  </si>
  <si>
    <t xml:space="preserve">Reconhecer círculo, quadrado, triângulo e retângulo em cenas do jogo, contando lados e achando formas escondidas.</t>
  </si>
  <si>
    <t xml:space="preserve">A-010</t>
  </si>
  <si>
    <t xml:space="preserve">Padrões com formas</t>
  </si>
  <si>
    <t xml:space="preserve">Sequências ABAB e AAB com formas e cores além dos números, expandindo o modo Sequência.</t>
  </si>
  <si>
    <t xml:space="preserve">A-011</t>
  </si>
  <si>
    <t xml:space="preserve">Contagem regressiva</t>
  </si>
  <si>
    <t xml:space="preserve">Questões de tirar um por um até zero com foguete de lançamento, reforçando a ideia de subtração como tirar.</t>
  </si>
  <si>
    <t xml:space="preserve">A-012</t>
  </si>
  <si>
    <t xml:space="preserve">Composição e decomposição</t>
  </si>
  <si>
    <t xml:space="preserve">Desmontar números (7 é 5 e 2, ou 4 e 3) com peças arrastáveis, base para cálculo mental ágil.</t>
  </si>
  <si>
    <t xml:space="preserve">A-013</t>
  </si>
  <si>
    <t xml:space="preserve">Tabuada por partes</t>
  </si>
  <si>
    <t xml:space="preserve">Praticar a tabuada em blocos (só o 2, só o 5) com progresso visível por bloco, em vez de mistura aleatória.</t>
  </si>
  <si>
    <t xml:space="preserve">A-014</t>
  </si>
  <si>
    <t xml:space="preserve">Dobro, metade e triplo</t>
  </si>
  <si>
    <t xml:space="preserve">Estender o modo Dobro e metade com o triplo e a terça parte nos níveis altos.</t>
  </si>
  <si>
    <t xml:space="preserve">A-015</t>
  </si>
  <si>
    <t xml:space="preserve">Adição com transporte visual</t>
  </si>
  <si>
    <t xml:space="preserve">Somar com troca de 10 unidades por 1 dezena usando caixinhas que se agrupam, preparando o algoritmo formal.</t>
  </si>
  <si>
    <t xml:space="preserve">A-016</t>
  </si>
  <si>
    <t xml:space="preserve">Estimativa antes de contar</t>
  </si>
  <si>
    <t xml:space="preserve">Mostrar grupos por um instante e perguntar aproximação (mais ou menos 5? mais ou menos 20?), treinando subitização.</t>
  </si>
  <si>
    <t xml:space="preserve">A-017</t>
  </si>
  <si>
    <t xml:space="preserve">Número par ou ímpar</t>
  </si>
  <si>
    <t xml:space="preserve">Classificar números com pares de sapatos visuais, conceito que sustenta divisão e padrões.</t>
  </si>
  <si>
    <t xml:space="preserve">A-018</t>
  </si>
  <si>
    <t xml:space="preserve">Dinheiro com notas de 10 e 20</t>
  </si>
  <si>
    <t xml:space="preserve">Ampliar o modo Dinheiro com notas maiores, composição de valores e duas formas de pagar.</t>
  </si>
  <si>
    <t xml:space="preserve">A-019</t>
  </si>
  <si>
    <t xml:space="preserve">Histórias em dois passos</t>
  </si>
  <si>
    <t xml:space="preserve">Problemas narrados com duas operações encadeadas (ganhou 3, depois deu 2), nível de desafio extra do modo Histórias.</t>
  </si>
  <si>
    <t xml:space="preserve">A-020</t>
  </si>
  <si>
    <t xml:space="preserve">Modo professor (escolas)</t>
  </si>
  <si>
    <t xml:space="preserve">Painel docente que define a sequência de modos e metas semanais de uma turma inteira em um único arquivo de perfil.</t>
  </si>
  <si>
    <t xml:space="preserve">A-021</t>
  </si>
  <si>
    <t xml:space="preserve">Cartões de prática sob medida</t>
  </si>
  <si>
    <t xml:space="preserve">Responsáveis criam listas de contas específicas (a tabuada do 7) que entram nas rodadas como revisão direcionada.</t>
  </si>
  <si>
    <t xml:space="preserve">A-022</t>
  </si>
  <si>
    <t xml:space="preserve">Explicação passo a passo</t>
  </si>
  <si>
    <t xml:space="preserve">Após dois erros, além da dica, mostrar solução animada (juntar, riscar, reagrupar) em 10 segundos, ensinando o porquê.</t>
  </si>
  <si>
    <t xml:space="preserve">A-023</t>
  </si>
  <si>
    <t xml:space="preserve">Zero e casos especiais</t>
  </si>
  <si>
    <t xml:space="preserve">Praticar soma com zero, subtração do próprio número e dobra de 0 e 1, lacunas comuns na aprendizagem inicial.</t>
  </si>
  <si>
    <t xml:space="preserve">v2.4-v2.5</t>
  </si>
  <si>
    <t xml:space="preserve">A-024</t>
  </si>
  <si>
    <t xml:space="preserve">Comparar três quantidades</t>
  </si>
  <si>
    <t xml:space="preserve">Ordenar três grupos do menor ao maior (arrastar), evolução natural do modo Comparar binário.</t>
  </si>
  <si>
    <t xml:space="preserve">A-025</t>
  </si>
  <si>
    <t xml:space="preserve">Medidor de progresso por habilidade</t>
  </si>
  <si>
    <t xml:space="preserve">Mapa de domínio ganha ícones por sub-habilidade (transporte, troco, tabuada do 7), mostrando exatamente o que dominar.</t>
  </si>
  <si>
    <t xml:space="preserve">A-026</t>
  </si>
  <si>
    <t xml:space="preserve">Palavras numéricas</t>
  </si>
  <si>
    <t xml:space="preserve">Ligar o número 8 aoito escrito (oito), conectando símbolo, quantidade e palavra nas três línguas do app.</t>
  </si>
  <si>
    <t xml:space="preserve">A-027</t>
  </si>
  <si>
    <t xml:space="preserve">Desafio do dia temático</t>
  </si>
  <si>
    <t xml:space="preserve">Rodada especial de fim de semana com enredo próprio (feira, espaço, fundo do mar) e recompensa de figurinha.</t>
  </si>
  <si>
    <t xml:space="preserve">A-028</t>
  </si>
  <si>
    <t xml:space="preserve">Modo espelho</t>
  </si>
  <si>
    <t xml:space="preserve">A criança ensina: o app pergunta qual resposta está certa entre duas explicações diferentes, consolidando por meio da justificativa.</t>
  </si>
  <si>
    <t xml:space="preserve">A-029</t>
  </si>
  <si>
    <t xml:space="preserve">Sons das quantidades</t>
  </si>
  <si>
    <t xml:space="preserve">Bater palmas o número de vezes pedido usando o microfone (opcional, processado localmente), liga número e ritmo.</t>
  </si>
  <si>
    <t xml:space="preserve">A-030</t>
  </si>
  <si>
    <t xml:space="preserve">Curva de esquecimento nas tabuadas</t>
  </si>
  <si>
    <t xml:space="preserve">Incluir cada fato da tabuada na revisão espaçada individualmente (7x8 separado de 7x9), não a conta inteira como hoje.</t>
  </si>
  <si>
    <t xml:space="preserve">A-031</t>
  </si>
  <si>
    <t xml:space="preserve">Modo silencioso de contagem</t>
  </si>
  <si>
    <t xml:space="preserve">Questões sem narração para escolas com fones indisponíveis, com tudo expresso em visual.</t>
  </si>
  <si>
    <t xml:space="preserve">A-032</t>
  </si>
  <si>
    <t xml:space="preserve">Conjuntos maiores com dezenas</t>
  </si>
  <si>
    <t xml:space="preserve">Grupos de 20 a 50 objetos renderizados em fileiras de 10 para contagem por dezenas nos níveis altos.</t>
  </si>
  <si>
    <t xml:space="preserve">A-033</t>
  </si>
  <si>
    <t xml:space="preserve">Avaliação contínua silenciosa</t>
  </si>
  <si>
    <t xml:space="preserve">O ajuste automático de nível usa também o tempo de resposta, sem depender só do acerto, como já faz o motor de pontos.</t>
  </si>
  <si>
    <t xml:space="preserve">A-034</t>
  </si>
  <si>
    <t xml:space="preserve">Cartilha para responsáveis</t>
  </si>
  <si>
    <t xml:space="preserve">PDF embutido com sugestões de brincadeiras de matemática fora da tela (cozinha, mercado, caminho da escola).</t>
  </si>
  <si>
    <t xml:space="preserve">A-035</t>
  </si>
  <si>
    <t xml:space="preserve">Alinhamento BNCC</t>
  </si>
  <si>
    <t xml:space="preserve">Documento de referência ligando cada modo às habilidades da BNCC da Educação Infantil e anos iniciais, para adoção escolar.</t>
  </si>
  <si>
    <t xml:space="preserve">A-036</t>
  </si>
  <si>
    <t xml:space="preserve">Leitor de tela completo</t>
  </si>
  <si>
    <t xml:space="preserve">Auditar todos os botões e estados com ARIA labels e live regions para NVDA/VoiceOver, além das respostas do jogo.</t>
  </si>
  <si>
    <t xml:space="preserve">A-037</t>
  </si>
  <si>
    <t xml:space="preserve">Navegação por teclado total</t>
  </si>
  <si>
    <t xml:space="preserve">Tab alcança todos os controles das telas iniciais e da loja (hoje o foco por teclado cobre o jogo), com ordem lógica.</t>
  </si>
  <si>
    <t xml:space="preserve">A-038</t>
  </si>
  <si>
    <t xml:space="preserve">Modo uma mão</t>
  </si>
  <si>
    <t xml:space="preserve">Alternar respostas para a parte de baixo da tela em duas fileiras, para crianças com uso de uma mão ou mobilidade reduzida.</t>
  </si>
  <si>
    <t xml:space="preserve">A-039</t>
  </si>
  <si>
    <t xml:space="preserve">Alvos de toque ajustáveis</t>
  </si>
  <si>
    <t xml:space="preserve">Botão de tamanho de resposta grande/extra grande na área dos responsáveis, acima dos 48 px mínimos atuais.</t>
  </si>
  <si>
    <t xml:space="preserve">A-040</t>
  </si>
  <si>
    <t xml:space="preserve">Contraste de objetos configurável</t>
  </si>
  <si>
    <t xml:space="preserve">Opção de contorno preto nos emojis de objetos para baixa visão e telas de baixa qualidade.</t>
  </si>
  <si>
    <t xml:space="preserve">A-041</t>
  </si>
  <si>
    <t xml:space="preserve">Daltonismo seguro</t>
  </si>
  <si>
    <t xml:space="preserve">Paleta alternativa que não depende de verde/vermelho para acerto, erro e barra de tempo, testada com simuladores de CVD.</t>
  </si>
  <si>
    <t xml:space="preserve">A-042</t>
  </si>
  <si>
    <t xml:space="preserve">Legendas de narração</t>
  </si>
  <si>
    <t xml:space="preserve">Balão de legenda fixa mostrando por escrito tudo o que a voz fala, útil para surdos e ambientes silenciosos.</t>
  </si>
  <si>
    <t xml:space="preserve">A-043</t>
  </si>
  <si>
    <t xml:space="preserve">Vibração no acerto</t>
  </si>
  <si>
    <t xml:space="preserve">Feedback háptico via Vibration API em navegadores móveis como reforço para crianças com surdocegueira parcial.</t>
  </si>
  <si>
    <t xml:space="preserve">A-044</t>
  </si>
  <si>
    <t xml:space="preserve">Modo sem cor</t>
  </si>
  <si>
    <t xml:space="preserve">Indicadores de acerto/erro por forma (estrela X) além de cor, eliminando qualquer dependência cromática.</t>
  </si>
  <si>
    <t xml:space="preserve">A-045</t>
  </si>
  <si>
    <t xml:space="preserve">Escala de interface</t>
  </si>
  <si>
    <t xml:space="preserve">Três tamanhos de interface (normal, grande, enorme) aplicados por variável CSS, beneficiando baixa visão e telas pequenas.</t>
  </si>
  <si>
    <t xml:space="preserve">A-046</t>
  </si>
  <si>
    <t xml:space="preserve">Cursor grande</t>
  </si>
  <si>
    <t xml:space="preserve">Ponteiro ampliado opcional no modo web para telas interativas de sala de aula.</t>
  </si>
  <si>
    <t xml:space="preserve">A-047</t>
  </si>
  <si>
    <t xml:space="preserve">Tempo extra configurável</t>
  </si>
  <si>
    <t xml:space="preserve">Multiplicador de tempo da barra (1x, 1,5x, 2x) para crianças com lentidão motora, sem desligar a pontuação.</t>
  </si>
  <si>
    <t xml:space="preserve">A-048</t>
  </si>
  <si>
    <t xml:space="preserve">Modo sem tempo sonoro</t>
  </si>
  <si>
    <t xml:space="preserve">Remover qualquer indicação sonora do cronômetro, mantendo só a barra visual, para crianças ansiosas com áudio.</t>
  </si>
  <si>
    <t xml:space="preserve">A-049</t>
  </si>
  <si>
    <t xml:space="preserve">Idioma de sinais nas dicas</t>
  </si>
  <si>
    <t xml:space="preserve">Vídeos curtos em Libras (webm) para as frases centrais, começando pelos números e elogios.</t>
  </si>
  <si>
    <t xml:space="preserve">A-050</t>
  </si>
  <si>
    <t xml:space="preserve">Redução máxima de movimento</t>
  </si>
  <si>
    <t xml:space="preserve">Nível extremo do modo calmo sem confetes, parallax ou transições, além do já existente.</t>
  </si>
  <si>
    <t xml:space="preserve">A-051</t>
  </si>
  <si>
    <t xml:space="preserve">Teclado numérico em tela</t>
  </si>
  <si>
    <t xml:space="preserve">Pad numérico opcional para responder digitando, além das 4 alternativas, treinando digitação.</t>
  </si>
  <si>
    <t xml:space="preserve">A-052</t>
  </si>
  <si>
    <t xml:space="preserve">Foco visível reforçado</t>
  </si>
  <si>
    <t xml:space="preserve">Anel de foco 3px animado em todos os elementos focáveis, auditável com automação de contraste.</t>
  </si>
  <si>
    <t xml:space="preserve">A-053</t>
  </si>
  <si>
    <t xml:space="preserve">Pausa por piscar</t>
  </si>
  <si>
    <t xml:space="preserve">Pausar o cronômetro quando a aba perde foco já existe; estender para modo quiosque com detector de ausência de interação.</t>
  </si>
  <si>
    <t xml:space="preserve">A-054</t>
  </si>
  <si>
    <t xml:space="preserve">Simples linguagem na interface</t>
  </si>
  <si>
    <t xml:space="preserve">Revisão das frases com linguista infantil, evitando ambiguidades (veja, escolha, toque) e padronizando verbos.</t>
  </si>
  <si>
    <t xml:space="preserve">A-055</t>
  </si>
  <si>
    <t xml:space="preserve">Modo esquerdo/direito</t>
  </si>
  <si>
    <t xml:space="preserve">Inverter posição do visual e das respostas para treinar ambos os hemisférios de varredura visual.</t>
  </si>
  <si>
    <t xml:space="preserve">A-056</t>
  </si>
  <si>
    <t xml:space="preserve">Audiodescription de animações</t>
  </si>
  <si>
    <t xml:space="preserve">Narração curta descrevendo celebrações (a raposa pulou três vezes) quando movimento está reduzido.</t>
  </si>
  <si>
    <t xml:space="preserve">A-057</t>
  </si>
  <si>
    <t xml:space="preserve">Tema para fotossensibilidade</t>
  </si>
  <si>
    <t xml:space="preserve">Fundo neutro sem gradientes animados, sem flashes e sem brilho pulsante em conquistas.</t>
  </si>
  <si>
    <t xml:space="preserve">A-058</t>
  </si>
  <si>
    <t xml:space="preserve">Resposta por olhar (experimental)</t>
  </si>
  <si>
    <t xml:space="preserve">Integração opcional com webgazer para seleção por olhar em browsers de desktop, modo de pesquisa.</t>
  </si>
  <si>
    <t xml:space="preserve">Futuro</t>
  </si>
  <si>
    <t xml:space="preserve">A-059</t>
  </si>
  <si>
    <t xml:space="preserve">Switch access</t>
  </si>
  <si>
    <t xml:space="preserve">Controle por dois botões (varredura + seleção) para crianças com paralisia cerebral, padrão de acessibilidade motora grave.</t>
  </si>
  <si>
    <t xml:space="preserve">A-060</t>
  </si>
  <si>
    <t xml:space="preserve">Ditado de resposta</t>
  </si>
  <si>
    <t xml:space="preserve">Falar a resposta usando reconhecimento de voz local do navegador, com validação e modo de pesquisa.</t>
  </si>
  <si>
    <t xml:space="preserve">A-061</t>
  </si>
  <si>
    <t xml:space="preserve">Auditório: modo projeção</t>
  </si>
  <si>
    <t xml:space="preserve">Layout gigante para quadro interativo, com respostas em 4 quadrantes coloridos por forma e número.</t>
  </si>
  <si>
    <t xml:space="preserve">A-062</t>
  </si>
  <si>
    <t xml:space="preserve">Pré-visualização de áudio por perfil</t>
  </si>
  <si>
    <t xml:space="preserve">Cada perfil ouve 3 frases de amostra ao ser escolhido, confirmando voz, velocidade e volume daquele jogador.</t>
  </si>
  <si>
    <t xml:space="preserve">A-063</t>
  </si>
  <si>
    <t xml:space="preserve">Manual de acessibilidade</t>
  </si>
  <si>
    <t xml:space="preserve">Página na área dos responsáveis explicando cada opção de acessibilidade com exemplos visuais.</t>
  </si>
  <si>
    <t xml:space="preserve">A-064</t>
  </si>
  <si>
    <t xml:space="preserve">Testes automatizados de a11y</t>
  </si>
  <si>
    <t xml:space="preserve">Axe-core rodando na build de QA bloqueando regressões de contraste e ARIA antes de cada versão.</t>
  </si>
  <si>
    <t xml:space="preserve">A-065</t>
  </si>
  <si>
    <t xml:space="preserve">Aumentar precisão de toque</t>
  </si>
  <si>
    <t xml:space="preserve">Zona de clique invisível 1,4x maior que o botão desenhado, evitando toques frustrados de crianças pequenas.</t>
  </si>
  <si>
    <t xml:space="preserve">A-066</t>
  </si>
  <si>
    <t xml:space="preserve">Cofre do progresso</t>
  </si>
  <si>
    <t xml:space="preserve">Backup automático semanal local (últimas 4 cópias) na área dos responsáveis, com restauração em um toque.</t>
  </si>
  <si>
    <t xml:space="preserve">A-067</t>
  </si>
  <si>
    <t xml:space="preserve">Auditoria de exportação</t>
  </si>
  <si>
    <t xml:space="preserve">Registrar dentro do arquivo exportado a versão do app e a data, com validação de integridade na importação.</t>
  </si>
  <si>
    <t xml:space="preserve">A-068</t>
  </si>
  <si>
    <t xml:space="preserve">Bloqueio de links externos</t>
  </si>
  <si>
    <t xml:space="preserve">Garantia estrutural de que nenhum modo abre navegação externa; teste automatizado varrendo todos os handlers.</t>
  </si>
  <si>
    <t xml:space="preserve">A-069</t>
  </si>
  <si>
    <t xml:space="preserve">Modo quiosque</t>
  </si>
  <si>
    <t xml:space="preserve">Fixar o jogo em tela cheia sem topbar (sem fechar, trocar perfil ou abrir opções), ideal para tablet de criança pequena.</t>
  </si>
  <si>
    <t xml:space="preserve">A-070</t>
  </si>
  <si>
    <t xml:space="preserve">Chave de exportação</t>
  </si>
  <si>
    <t xml:space="preserve">Opção de exportar o progresso criptografado com senha, para famílias que armazenam o backup em nuvem de terceiros.</t>
  </si>
  <si>
    <t xml:space="preserve">A-071</t>
  </si>
  <si>
    <t xml:space="preserve">Limpar dados por perfil</t>
  </si>
  <si>
    <t xml:space="preserve">Além de apagar tudo, apagar progresso de um perfil específico direto do popover de perfis com confirmação dupla.</t>
  </si>
  <si>
    <t xml:space="preserve">A-072</t>
  </si>
  <si>
    <t xml:space="preserve">Log de alterações de configuração</t>
  </si>
  <si>
    <t xml:space="preserve">Histórico interno (últimos 30 eventos) de mudanças feitas na área dos responsáveis, visível aos responsáveis.</t>
  </si>
  <si>
    <t xml:space="preserve">A-073</t>
  </si>
  <si>
    <t xml:space="preserve">Política de dados embutida</t>
  </si>
  <si>
    <t xml:space="preserve">Resumo da política de privacidade acessível dentro do próprio jogo (sem internet), em linguagem para famílias.</t>
  </si>
  <si>
    <t xml:space="preserve">A-074</t>
  </si>
  <si>
    <t xml:space="preserve">Rate limit no portão</t>
  </si>
  <si>
    <t xml:space="preserve">Além do bloqueio progressivo atual, persistir contagem por dia e avisar no painel quantas tentativas erradas houve.</t>
  </si>
  <si>
    <t xml:space="preserve">A-075</t>
  </si>
  <si>
    <t xml:space="preserve">Senha com dica opcional desativável</t>
  </si>
  <si>
    <t xml:space="preserve">Responsáveis podem remover o lembrete do fluxo (alguns preferem não exibir nada) mantendo a recuperação pelo cofre.</t>
  </si>
  <si>
    <t xml:space="preserve">A-076</t>
  </si>
  <si>
    <t xml:space="preserve">Pergunta de segurança alternativa</t>
  </si>
  <si>
    <t xml:space="preserve">Segunda via de recuperação por pergunta escolhida (nome do primeiro bichinho), além do lembrete em texto.</t>
  </si>
  <si>
    <t xml:space="preserve">A-077</t>
  </si>
  <si>
    <t xml:space="preserve">Hash com iteração</t>
  </si>
  <si>
    <t xml:space="preserve">Evoluir o hash da senha para 1000 iterações de SHA-256 (cascata) ao criar novas senhas, mantendo compatibilidade com as antigas.</t>
  </si>
  <si>
    <t xml:space="preserve">A-078</t>
  </si>
  <si>
    <t xml:space="preserve">Selo de privacidade automático</t>
  </si>
  <si>
    <t xml:space="preserve">Script de CI que varre permissões do manifest e falha a build se qualquer permissão além de storage aparecer.</t>
  </si>
  <si>
    <t xml:space="preserve">A-079</t>
  </si>
  <si>
    <t xml:space="preserve">Dependências zeradas</t>
  </si>
  <si>
    <t xml:space="preserve">Manter política de zero bibliotecas de terceiros no pacote; auditoria documentada por versão na pasta loja/.</t>
  </si>
  <si>
    <t xml:space="preserve">A-080</t>
  </si>
  <si>
    <t xml:space="preserve">Integridade dos pacotes</t>
  </si>
  <si>
    <t xml:space="preserve">Publicar sha256 dos zips de instalação no demo e no README, permitindo verificar o download.</t>
  </si>
  <si>
    <t xml:space="preserve">A-081</t>
  </si>
  <si>
    <t xml:space="preserve">Anti-tamper suave</t>
  </si>
  <si>
    <t xml:space="preserve">Detectar se o cc_state foi editado fora do app (checksum interno) e avisar sem bloquear, protegendo conquistas.</t>
  </si>
  <si>
    <t xml:space="preserve">A-082</t>
  </si>
  <si>
    <t xml:space="preserve">Modo criança nas opções</t>
  </si>
  <si>
    <t xml:space="preserve">Dentro da área dos responsáveis, esconder por padrão opções avançadas (importar JSON), reduzindo erros e manipulações.</t>
  </si>
  <si>
    <t xml:space="preserve">A-083</t>
  </si>
  <si>
    <t xml:space="preserve">Encerramento limpo</t>
  </si>
  <si>
    <t xml:space="preserve">Ao fechar o jogo, cancelar toda fila de fala e áudio para não vazar som após o fechamento da janela.</t>
  </si>
  <si>
    <t xml:space="preserve">A-084</t>
  </si>
  <si>
    <t xml:space="preserve">Permissão zero confirmada por versão</t>
  </si>
  <si>
    <t xml:space="preserve">Matriz documentada permissão por versão na pasta loja/, evidência para revisão das lojas de extensões.</t>
  </si>
  <si>
    <t xml:space="preserve">A-085</t>
  </si>
  <si>
    <t xml:space="preserve">Exclusão remota simulada</t>
  </si>
  <si>
    <t xml:space="preserve">Se sync estiver ativo, comando de apagar tudo propaga para os outros computadores na próxima abertura.</t>
  </si>
  <si>
    <t xml:space="preserve">A-086</t>
  </si>
  <si>
    <t xml:space="preserve">Panic mode</t>
  </si>
  <si>
    <t xml:space="preserve">Três toques no mascote ocultam o placar e mostram só o jogo, para crianças que se sentem pressionadas por números.</t>
  </si>
  <si>
    <t xml:space="preserve">A-087</t>
  </si>
  <si>
    <t xml:space="preserve">Vazamento de fala bloqueado</t>
  </si>
  <si>
    <t xml:space="preserve">Fila de narração nunca pronuncia dados sensíveis (senha, e-mail), com filtro de conteúdo nas strings faladas.</t>
  </si>
  <si>
    <t xml:space="preserve">A-088</t>
  </si>
  <si>
    <t xml:space="preserve">Consentimento para sync</t>
  </si>
  <si>
    <t xml:space="preserve">Ativar sincronização exige confirmação com senha dos responsáveis, hoje é apenas um interruptor.</t>
  </si>
  <si>
    <t xml:space="preserve">A-089</t>
  </si>
  <si>
    <t xml:space="preserve">Relatório de segurança por release</t>
  </si>
  <si>
    <t xml:space="preserve">Nota curta por versão com mudanças de segurança, publicada no README e no demo.</t>
  </si>
  <si>
    <t xml:space="preserve">A-090</t>
  </si>
  <si>
    <t xml:space="preserve">Modo offline verificado</t>
  </si>
  <si>
    <t xml:space="preserve">Teste automatizado com rede bloqueada garantindo que todos os modos funcionem sem internet, por release.</t>
  </si>
  <si>
    <t xml:space="preserve">A-091</t>
  </si>
  <si>
    <t xml:space="preserve">Horários permitidos</t>
  </si>
  <si>
    <t xml:space="preserve">Responsáveis definem janelas de uso (ex.: 14h-17h); fora delas o jogo mostra a raposa dormindo com mensagem gentil.</t>
  </si>
  <si>
    <t xml:space="preserve">A-092</t>
  </si>
  <si>
    <t xml:space="preserve">Senha por perfil</t>
  </si>
  <si>
    <t xml:space="preserve">Opcionalmente proteger perfis maiores com senha, impedindo irmãos menores de entrarem no progresso alheio.</t>
  </si>
  <si>
    <t xml:space="preserve">A-093</t>
  </si>
  <si>
    <t xml:space="preserve">Modo fim de semana</t>
  </si>
  <si>
    <t xml:space="preserve">Limites diferentes para dias de semana e fins de semana (ex.: 15 min de dia útil, 40 min no sábado).</t>
  </si>
  <si>
    <t xml:space="preserve">A-094</t>
  </si>
  <si>
    <t xml:space="preserve">Relatório semanal por e-mail manual</t>
  </si>
  <si>
    <t xml:space="preserve">Botão que gera resumo formatado pronto para colar/capturar e enviar a quem cuida (sem envio automático, sem servidor).</t>
  </si>
  <si>
    <t xml:space="preserve">A-095</t>
  </si>
  <si>
    <t xml:space="preserve">Acordo de uso</t>
  </si>
  <si>
    <t xml:space="preserve">Tela inicial opcional em que criança e responsável assinam (nome digitado) uma promessa de tempo de tela saudável.</t>
  </si>
  <si>
    <t xml:space="preserve">A-096</t>
  </si>
  <si>
    <t xml:space="preserve">Modo presente</t>
  </si>
  <si>
    <t xml:space="preserve">Responsáveis escondem a loja por um período (presente surpresa depois), evitando gasto antecipado de estrelas.</t>
  </si>
  <si>
    <t xml:space="preserve">A-097</t>
  </si>
  <si>
    <t xml:space="preserve">Mensagens dos responsáveis</t>
  </si>
  <si>
    <t xml:space="preserve">Responsáveis escrevem até 3 frases de incentivo que a raposa fala em momentos escolhidos (início, erro, fim de rodada).</t>
  </si>
  <si>
    <t xml:space="preserve">A-098</t>
  </si>
  <si>
    <t xml:space="preserve">Perfil de aniversário</t>
  </si>
  <si>
    <t xml:space="preserve">Dia do aniversário do jogador recebe tema festivo e dobra de estrelas do dia, configurado pelos responsáveis.</t>
  </si>
  <si>
    <t xml:space="preserve">A-099</t>
  </si>
  <si>
    <t xml:space="preserve">Múltiplos limites por perfil</t>
  </si>
  <si>
    <t xml:space="preserve">Limite de sessão atual é global; migrar para por perfil (bebê 10 min, irmão 20 min).</t>
  </si>
  <si>
    <t xml:space="preserve">A-100</t>
  </si>
  <si>
    <t xml:space="preserve">Trava de idioma</t>
  </si>
  <si>
    <t xml:space="preserve">Responsáveis fixam o idioma da interface, impedindo trocas acidentais por crianças explorando opções.</t>
  </si>
  <si>
    <t xml:space="preserve">A-101</t>
  </si>
  <si>
    <t xml:space="preserve">Modo sem loja</t>
  </si>
  <si>
    <t xml:space="preserve">Desabilitar a loja inteiramente para famílias que preferem jogo sem economia de estrelas.</t>
  </si>
  <si>
    <t xml:space="preserve">A-102</t>
  </si>
  <si>
    <t xml:space="preserve">Diário de aprendizagem</t>
  </si>
  <si>
    <t xml:space="preserve">Registro narrativo automático (esta semana aprendeu o 6, dominou somar até 20) em linguagem para família.</t>
  </si>
  <si>
    <t xml:space="preserve">A-103</t>
  </si>
  <si>
    <t xml:space="preserve">Pergunta de desbloqueio paternal alternativa</t>
  </si>
  <si>
    <t xml:space="preserve">Além da senha, permitir desbloqueio por padrão geométrico em grade 3x3 (mais rápido em telas de toque).</t>
  </si>
  <si>
    <t xml:space="preserve">A-104</t>
  </si>
  <si>
    <t xml:space="preserve">Aprovar novos modos</t>
  </si>
  <si>
    <t xml:space="preserve">Responsáveis podem exigir aprovação antes de um modo novo ser usado pela primeira vez.</t>
  </si>
  <si>
    <t xml:space="preserve">A-105</t>
  </si>
  <si>
    <t xml:space="preserve">Relatório de dificuldade</t>
  </si>
  <si>
    <t xml:space="preserve">Gráfico simples mostrando em que nível cada modo está, sugerindo conversa (subimos de nível esta semana!).</t>
  </si>
  <si>
    <t xml:space="preserve">A-106</t>
  </si>
  <si>
    <t xml:space="preserve">Sons noturnos</t>
  </si>
  <si>
    <t xml:space="preserve">Curva de volume automática por horário (mais suave à noite), configurável pelos responsáveis.</t>
  </si>
  <si>
    <t xml:space="preserve">A-107</t>
  </si>
  <si>
    <t xml:space="preserve">Nomes com sensibilidade</t>
  </si>
  <si>
    <t xml:space="preserve">Perfil aceita apelido curto e valida para não conter nome completo da criança, com aviso de privacidade.</t>
  </si>
  <si>
    <t xml:space="preserve">A-108</t>
  </si>
  <si>
    <t xml:space="preserve">Backup manual guiado</t>
  </si>
  <si>
    <t xml:space="preserve">Assistente de 3 passos para exportar e guardar o progresso com nome e data padronizados.</t>
  </si>
  <si>
    <t xml:space="preserve">A-109</t>
  </si>
  <si>
    <t xml:space="preserve">Modo recuperação gentil</t>
  </si>
  <si>
    <t xml:space="preserve">Após limite de sessão, opção de continuar por mais 5 minutos somente com senha dos responsáveis (escada de tensão suave).</t>
  </si>
  <si>
    <t xml:space="preserve">A-110</t>
  </si>
  <si>
    <t xml:space="preserve">Fila de pedidos</t>
  </si>
  <si>
    <t xml:space="preserve">Criança pode pedir um item da loja para os responsáveis (lista de desejos visível só no painel).</t>
  </si>
  <si>
    <t xml:space="preserve">A-111</t>
  </si>
  <si>
    <t xml:space="preserve">Multi-dispositivo claro</t>
  </si>
  <si>
    <t xml:space="preserve">Painel mostra em quais computadores o progresso foi usado recentemente (local), evitando confusão de perfis.</t>
  </si>
  <si>
    <t xml:space="preserve">A-112</t>
  </si>
  <si>
    <t xml:space="preserve">Pausa para água e alongamento</t>
  </si>
  <si>
    <t xml:space="preserve">Lembrete a cada 15 minutos (opcional): beber água e alongar com a raposa, além da pausa de fadiga atual.</t>
  </si>
  <si>
    <t xml:space="preserve">A-113</t>
  </si>
  <si>
    <t xml:space="preserve">Guia de primeiros passos para adultos</t>
  </si>
  <si>
    <t xml:space="preserve">Tour de 4 telas na área dos responsáveis explicando senha, limites, relatórios e sincronização.</t>
  </si>
  <si>
    <t xml:space="preserve">A-114</t>
  </si>
  <si>
    <t xml:space="preserve">Destravar tudo exige senha</t>
  </si>
  <si>
    <t xml:space="preserve">A opção destravar todos os modos move-se para dentro do portão, deixando de ser alterável por crianças curiosas.</t>
  </si>
  <si>
    <t xml:space="preserve">A-115</t>
  </si>
  <si>
    <t xml:space="preserve">Carta para a escola</t>
  </si>
  <si>
    <t xml:space="preserve">Gerar resumo imprimível do progresso para levar à reunião de pais, com os 12 modos e níveis.</t>
  </si>
  <si>
    <t xml:space="preserve">A-116</t>
  </si>
  <si>
    <t xml:space="preserve">Jardim do progresso</t>
  </si>
  <si>
    <t xml:space="preserve">Cada 10 estrelas planta uma flor no jardim do perfil; visual contínuo e tranquilo de crescimento de longo prazo.</t>
  </si>
  <si>
    <t xml:space="preserve">A-117</t>
  </si>
  <si>
    <t xml:space="preserve">Coleção de mascotes</t>
  </si>
  <si>
    <t xml:space="preserve">Além da raposa evolutiva, 6 mascotes alternativas (panda, tartaruga, coruja) com desbloqueio por conquistas, mesmo motor.</t>
  </si>
  <si>
    <t xml:space="preserve">A-118</t>
  </si>
  <si>
    <t xml:space="preserve">Medalhas de persistência</t>
  </si>
  <si>
    <t xml:space="preserve">Conquistas por esforço (voltou depois de errar 3, terminou rodada difícil sem desistir), não só por acerto.</t>
  </si>
  <si>
    <t xml:space="preserve">A-119</t>
  </si>
  <si>
    <t xml:space="preserve">Bilhete da raposa</t>
  </si>
  <si>
    <t xml:space="preserve">Mensagem carinhosa aleatória diária deixada na porta da casa da mascote (bilhete visual), cria vínculo de volta.</t>
  </si>
  <si>
    <t xml:space="preserve">A-120</t>
  </si>
  <si>
    <t xml:space="preserve">Estrelas de ouro</t>
  </si>
  <si>
    <t xml:space="preserve">Rodada perfeita de primeira em todas as 5 questões concede estrela dourada especial contada no painel.</t>
  </si>
  <si>
    <t xml:space="preserve">A-121</t>
  </si>
  <si>
    <t xml:space="preserve">Álbum de aventuras</t>
  </si>
  <si>
    <t xml:space="preserve">Cada modo jogado pela primeira vez coloca um selo no mapa de aventuras, incentivando explorar os 12 modos.</t>
  </si>
  <si>
    <t xml:space="preserve">A-122</t>
  </si>
  <si>
    <t xml:space="preserve">Cofrinho de estrelas</t>
  </si>
  <si>
    <t xml:space="preserve">Meta de longo prazo escolhida pela criança (100 estrelas = festa) com barra de poupança visível.</t>
  </si>
  <si>
    <t xml:space="preserve">A-123</t>
  </si>
  <si>
    <t xml:space="preserve">Modo cooperação 2 jogadores</t>
  </si>
  <si>
    <t xml:space="preserve">Alternativa ao duelo: os dois jogam juntos somando placar comum, aprendendo a celebrar em dupla.</t>
  </si>
  <si>
    <t xml:space="preserve">A-124</t>
  </si>
  <si>
    <t xml:space="preserve">Aniversário da raposa</t>
  </si>
  <si>
    <t xml:space="preserve">Evento anual comemorativo (data da instalação) com bolo virtual e figurinha exclusiva.</t>
  </si>
  <si>
    <t xml:space="preserve">A-125</t>
  </si>
  <si>
    <t xml:space="preserve">Correntes de combo com nomes</t>
  </si>
  <si>
    <t xml:space="preserve">Combo 5 tem nome próprio (rajada, foguete, cometa), narrado com voz empolgada e visual distinto.</t>
  </si>
  <si>
    <t xml:space="preserve">A-126</t>
  </si>
  <si>
    <t xml:space="preserve">Caça ao número</t>
  </si>
  <si>
    <t xml:space="preserve">Minigame livre de achar números escondidos numa cena (1 a 20), descontração sem pontuação.</t>
  </si>
  <si>
    <t xml:space="preserve">A-127</t>
  </si>
  <si>
    <t xml:space="preserve">Troféus semanais locais</t>
  </si>
  <si>
    <t xml:space="preserve">Recorde da semana por modo exibido com troféu simples, zera suavemente para dar nova chance a todos.</t>
  </si>
  <si>
    <t xml:space="preserve">A-128</t>
  </si>
  <si>
    <t xml:space="preserve">Estrela de esforço</t>
  </si>
  <si>
    <t xml:space="preserve">Responder 20 questões numa sessão vale 1 estrela de esforço (máx. 3/dia), premiando dedicação independentemente de acerto.</t>
  </si>
  <si>
    <t xml:space="preserve">A-129</t>
  </si>
  <si>
    <t xml:space="preserve">Fotos do progresso</t>
  </si>
  <si>
    <t xml:space="preserve">Compartilhar (arquivo local) um cartão bonito com as estrelas da semana, feito pela família.</t>
  </si>
  <si>
    <t xml:space="preserve">A-130</t>
  </si>
  <si>
    <t xml:space="preserve">História em capítulos</t>
  </si>
  <si>
    <t xml:space="preserve">Mascote viaja por 5 ilhas temáticas conforme total de estrelas; cada ilha muda o cenário da tela inicial.</t>
  </si>
  <si>
    <t xml:space="preserve">A-131</t>
  </si>
  <si>
    <t xml:space="preserve">Bônus de volta</t>
  </si>
  <si>
    <t xml:space="preserve">Voltar no dia seguinte após bater a meta rende bônus de boas-vindas (+2), reforçando hábito gentil.</t>
  </si>
  <si>
    <t xml:space="preserve">A-132</t>
  </si>
  <si>
    <t xml:space="preserve">Modo desafio invertido</t>
  </si>
  <si>
    <t xml:space="preserve">A raposa erra de propósito e a criança corrige e explica, papel de professora power-up para autoconfiança.</t>
  </si>
  <si>
    <t xml:space="preserve">A-133</t>
  </si>
  <si>
    <t xml:space="preserve">Coleção de adesivos grandes</t>
  </si>
  <si>
    <t xml:space="preserve">Ampliar de 24 para 48 figurinhas com novas famílias (dinossauros, espaço, fundo do mar).</t>
  </si>
  <si>
    <t xml:space="preserve">A-134</t>
  </si>
  <si>
    <t xml:space="preserve">Cineminha</t>
  </si>
  <si>
    <t xml:space="preserve">Cutscene curta de 20 segundos ao subir cada estágio da mascote (ovo, filhote, adulta), criada em CSS.</t>
  </si>
  <si>
    <t xml:space="preserve">A-135</t>
  </si>
  <si>
    <t xml:space="preserve">Mural de conquistas imprimível</t>
  </si>
  <si>
    <t xml:space="preserve">Exportar as conquistas em folha A4 decorada para colar na parede.</t>
  </si>
  <si>
    <t xml:space="preserve">A-136</t>
  </si>
  <si>
    <t xml:space="preserve">Pet do perfil</t>
  </si>
  <si>
    <t xml:space="preserve">Bichinho pequeno que acompanha a mascote e reage a combos (pula, dorme), sem economia adicional.</t>
  </si>
  <si>
    <t xml:space="preserve">A-137</t>
  </si>
  <si>
    <t xml:space="preserve">Estatísticas divertidas</t>
  </si>
  <si>
    <t xml:space="preserve">Contadores alegres (já contou 300 morangos, cruzou 42 balões) no painel, dando sentido aos números.</t>
  </si>
  <si>
    <t xml:space="preserve">A-138</t>
  </si>
  <si>
    <t xml:space="preserve">Trem das rodadas</t>
  </si>
  <si>
    <t xml:space="preserve">A cada rodada completa um vagão novo no trem da tela inicial; 10 vagões = ponte nova construída.</t>
  </si>
  <si>
    <t xml:space="preserve">A-139</t>
  </si>
  <si>
    <t xml:space="preserve">Selo de calma</t>
  </si>
  <si>
    <t xml:space="preserve">Usar o modo respiração e voltar a jogar concede selo de calma, valorizando autorregulação.</t>
  </si>
  <si>
    <t xml:space="preserve">A-140</t>
  </si>
  <si>
    <t xml:space="preserve">Cartas do avô/avó</t>
  </si>
  <si>
    <t xml:space="preserve">Família grava frases que chegam como cartas na casa da raposa (áudio local gravado no navegador).</t>
  </si>
  <si>
    <t xml:space="preserve">A-141</t>
  </si>
  <si>
    <t xml:space="preserve">Máquina de bolinhas</t>
  </si>
  <si>
    <t xml:space="preserve">Cada acerto de primeira lança bolinha na máquina; encher 20 ganha música de vitória e prêmio visual.</t>
  </si>
  <si>
    <t xml:space="preserve">A-142</t>
  </si>
  <si>
    <t xml:space="preserve">Modo sem perdas visíveis</t>
  </si>
  <si>
    <t xml:space="preserve">Tema que suaviza qualquer indicador de erro para crianças muito sensíveis a frustração.</t>
  </si>
  <si>
    <t xml:space="preserve">A-143</t>
  </si>
  <si>
    <t xml:space="preserve">Duas conquistas por estação</t>
  </si>
  <si>
    <t xml:space="preserve">Conquistas sazonais (primavera, verão) renováveis por ano, sempre com recompensa pequena e doce.</t>
  </si>
  <si>
    <t xml:space="preserve">A-144</t>
  </si>
  <si>
    <t xml:space="preserve">Parabéns personalizado</t>
  </si>
  <si>
    <t xml:space="preserve">Ao bater recorde de pontos, a narração cita o modo e o número exato (812 pontos no Mistão!).</t>
  </si>
  <si>
    <t xml:space="preserve">A-145</t>
  </si>
  <si>
    <t xml:space="preserve">Zoo de contagem</t>
  </si>
  <si>
    <t xml:space="preserve">Galeria de bichinhos desbloqueada por marcos de contagem total (1000 objetos contados).</t>
  </si>
  <si>
    <t xml:space="preserve">A-146</t>
  </si>
  <si>
    <t xml:space="preserve">Motor de dificuldade contínuo</t>
  </si>
  <si>
    <t xml:space="preserve">Trocar a janela de 5 respostas por estimador contínuo (média móvel ponderada) que ajusta nível com 2 respostas.</t>
  </si>
  <si>
    <t xml:space="preserve">A-147</t>
  </si>
  <si>
    <t xml:space="preserve">Dificuldade por sub-habilidade</t>
  </si>
  <si>
    <t xml:space="preserve">Níveis separados para somar com e sem transporte, dividir por 2 e por 5 etc., adaptação mais fina que por modo.</t>
  </si>
  <si>
    <t xml:space="preserve">A-148</t>
  </si>
  <si>
    <t xml:space="preserve">Detector de adivinhação</t>
  </si>
  <si>
    <t xml:space="preserve">Padrão de respostas rápidas erradas seguidas indica chute; o app pausa e oferece contar junto.</t>
  </si>
  <si>
    <t xml:space="preserve">A-149</t>
  </si>
  <si>
    <t xml:space="preserve">Distratores inteligentes</t>
  </si>
  <si>
    <t xml:space="preserve">Escolher alternativas erradas baseadas nos erros típicos da criança (confundiu 12 com 21), gerados por histórico.</t>
  </si>
  <si>
    <t xml:space="preserve">A-150</t>
  </si>
  <si>
    <t xml:space="preserve">Previsão de fadiga</t>
  </si>
  <si>
    <t xml:space="preserve">Além dos 3 erros, usar tempo de resposta crescente para oferecer pausa antes da frustração.</t>
  </si>
  <si>
    <t xml:space="preserve">A-151</t>
  </si>
  <si>
    <t xml:space="preserve">Hora certa de subir</t>
  </si>
  <si>
    <t xml:space="preserve">Recomendação explícita (você está pronto para o nível 4!) com base em precisão e velocidade combinadas.</t>
  </si>
  <si>
    <t xml:space="preserve">A-152</t>
  </si>
  <si>
    <t xml:space="preserve">Sequência de aquecimento</t>
  </si>
  <si>
    <t xml:space="preserve">Primeiras 2 questões da rodada um pouco mais fáceis (resgate do dia anterior), depois escada natural.</t>
  </si>
  <si>
    <t xml:space="preserve">A-153</t>
  </si>
  <si>
    <t xml:space="preserve">Interleaving de modos</t>
  </si>
  <si>
    <t xml:space="preserve">Mistão inteligente: alterna modos fracos e fortes na mesma rodada conforme mapa de domínio.</t>
  </si>
  <si>
    <t xml:space="preserve">A-154</t>
  </si>
  <si>
    <t xml:space="preserve">Metas dinâmicas</t>
  </si>
  <si>
    <t xml:space="preserve">Meta diária se ajusta sozinha (3 rodadas viram 4 em dias bons) dentro de limites definidos pelos responsáveis.</t>
  </si>
  <si>
    <t xml:space="preserve">A-155</t>
  </si>
  <si>
    <t xml:space="preserve">Repetição com espaçamento adaptativo</t>
  </si>
  <si>
    <t xml:space="preserve">Caixas de Leitner individuais por dificuldade real da conta, não só por acerto/erro (hoje: 1,2,4,8,16 dias fixos).</t>
  </si>
  <si>
    <t xml:space="preserve">A-156</t>
  </si>
  <si>
    <t xml:space="preserve">Perfil de tempo ideal</t>
  </si>
  <si>
    <t xml:space="preserve">Cada criança tem melhor janela de atenção detectada (manhã/tarde) com sugestão gentil de quando jogar.</t>
  </si>
  <si>
    <t xml:space="preserve">A-157</t>
  </si>
  <si>
    <t xml:space="preserve">Roteador de revisão</t>
  </si>
  <si>
    <t xml:space="preserve">Priorizar revisão dos fatos prestes a esquecer (modelo de esquecimento simples) em vez de ordem aleatória.</t>
  </si>
  <si>
    <t xml:space="preserve">A-158</t>
  </si>
  <si>
    <t xml:space="preserve">Geração de histórias variadas</t>
  </si>
  <si>
    <t xml:space="preserve">Nomes e enredos das histórias se combinam de forma mais ampla (animais, brinquedos), evitando repetição.</t>
  </si>
  <si>
    <t xml:space="preserve">A-159</t>
  </si>
  <si>
    <t xml:space="preserve">Sugestão de modo do dia</t>
  </si>
  <si>
    <t xml:space="preserve">Card inicial: hoje treine dinheriro (está há 5 dias sem jogar), escolhido pelo histórico de defasagem.</t>
  </si>
  <si>
    <t xml:space="preserve">A-160</t>
  </si>
  <si>
    <t xml:space="preserve">Ajuste de sensibilidade do combo</t>
  </si>
  <si>
    <t xml:space="preserve">Responsáveis podem exigir combo 3 ou 5 para bônus, conforme tolerância de frustração do perfil.</t>
  </si>
  <si>
    <t xml:space="preserve">A-161</t>
  </si>
  <si>
    <t xml:space="preserve">Detector de contagem no dedo</t>
  </si>
  <si>
    <t xml:space="preserve">Analisar padrão de toques nos objetos (contar um a um vs. reconhecer grupo) e evoluir desafios de subitização.</t>
  </si>
  <si>
    <t xml:space="preserve">A-162</t>
  </si>
  <si>
    <t xml:space="preserve">Objetivos semanais inteligentes</t>
  </si>
  <si>
    <t xml:space="preserve">Resumo que propõe foco da semana (troco, tabuada do 3) com base no mapa de domínio, aprovável pelos responsáveis.</t>
  </si>
  <si>
    <t xml:space="preserve">A-163</t>
  </si>
  <si>
    <t xml:space="preserve">Balanceamento de aleatoriedade</t>
  </si>
  <si>
    <t xml:space="preserve">Anti-repetição: impedir mesma conta duas vezes seguidas e limitar repetição dentro da rodada.</t>
  </si>
  <si>
    <t xml:space="preserve">A-164</t>
  </si>
  <si>
    <t xml:space="preserve">Nível de entrada automático</t>
  </si>
  <si>
    <t xml:space="preserve">Avaliação de 8 questões passou a sugerir também por modo (não só global), respeitando perfil assimétrico.</t>
  </si>
  <si>
    <t xml:space="preserve">A-165</t>
  </si>
  <si>
    <t xml:space="preserve">Curva de progresso visível</t>
  </si>
  <si>
    <t xml:space="preserve">Gráfico simples da precisão por semana no painel (tendência para cima = festa).</t>
  </si>
  <si>
    <t xml:space="preserve">A-166</t>
  </si>
  <si>
    <t xml:space="preserve">Sinais de ansiedade</t>
  </si>
  <si>
    <t xml:space="preserve">Pausas longas antes de responder + troca de respostas múltiplas sugerem ansiedade; ativar modo calmo automático.</t>
  </si>
  <si>
    <t xml:space="preserve">A-167</t>
  </si>
  <si>
    <t xml:space="preserve">Empréstimo de dificuldade</t>
  </si>
  <si>
    <t xml:space="preserve">Irão mais fácil no modo novo até 3 rodadas (consolidação), sem punir o mapa global.</t>
  </si>
  <si>
    <t xml:space="preserve">A-168</t>
  </si>
  <si>
    <t xml:space="preserve">Reconhecimento de padrão de erro</t>
  </si>
  <si>
    <t xml:space="preserve">Errar sempre 15-8 como 15-3 indica leitura parcial; sugerir exercícios de atenção ao sinal.</t>
  </si>
  <si>
    <t xml:space="preserve">A-169</t>
  </si>
  <si>
    <t xml:space="preserve">Modo mestre</t>
  </si>
  <si>
    <t xml:space="preserve">Nível 5+ oculto que só aparece quando todos os modos estão no 5, desafio de perpetuidade.</t>
  </si>
  <si>
    <t xml:space="preserve">A-170</t>
  </si>
  <si>
    <t xml:space="preserve">Avaliação rápida de 3 questões</t>
  </si>
  <si>
    <t xml:space="preserve">Alternativa de avaliação curta para dias impacentes, sugerindo nível provisório reavaliável.</t>
  </si>
  <si>
    <t xml:space="preserve">A-171</t>
  </si>
  <si>
    <t xml:space="preserve">Duas velocidades de adaptação</t>
  </si>
  <si>
    <t xml:space="preserve">Responsáveis escolhem subida de nível rápida (desafiante) ou lenta (segura) por perfil.</t>
  </si>
  <si>
    <t xml:space="preserve">A-172</t>
  </si>
  <si>
    <t xml:space="preserve">Fila de reforço cruzada</t>
  </si>
  <si>
    <t xml:space="preserve">Erro em história entra também na fila de revisão do modo base (subtrair), conectando contextos.</t>
  </si>
  <si>
    <t xml:space="preserve">A-173</t>
  </si>
  <si>
    <t xml:space="preserve">Tempo de resposta esperado por conta</t>
  </si>
  <si>
    <t xml:space="preserve">Modelo simples de tempo esperado (8+7 demora mais que 2+1) calibrando bônus de rapidez justo por questão.</t>
  </si>
  <si>
    <t xml:space="preserve">A-174</t>
  </si>
  <si>
    <t xml:space="preserve">Eco de conquistas antigas</t>
  </si>
  <si>
    <t xml:space="preserve">Se precisão de um modo caiu muito, modo entra em reaquecimento com questões do nível anterior.</t>
  </si>
  <si>
    <t xml:space="preserve">A-175</t>
  </si>
  <si>
    <t xml:space="preserve">Relatório de prontidão</t>
  </si>
  <si>
    <t xml:space="preserve">Indicador (pronto para multiplicar!) com base em domínio dos pré-requisitos, mostrando o caminho à frente.</t>
  </si>
  <si>
    <t xml:space="preserve">A-176</t>
  </si>
  <si>
    <t xml:space="preserve">Seleção automática de voz natural</t>
  </si>
  <si>
    <t xml:space="preserve">Heurística que prefere vozes com Natural/Neural/Online no nome, elevando a qualidade sem configuração.</t>
  </si>
  <si>
    <t xml:space="preserve">A-177</t>
  </si>
  <si>
    <t xml:space="preserve">Prosódia por pontuação</t>
  </si>
  <si>
    <t xml:space="preserve">Formatar falas com vírgulas, reticências e pontos para pausas reais e entonação, fila de utterances com pausas.</t>
  </si>
  <si>
    <t xml:space="preserve">A-178</t>
  </si>
  <si>
    <t xml:space="preserve">Biblioteca cordial contextual</t>
  </si>
  <si>
    <t xml:space="preserve">Dezenas de falas por situação (rápido, combo, erro, recorde) citando nome e itens da questão, conforme o estudo de voz.</t>
  </si>
  <si>
    <t xml:space="preserve">A-179</t>
  </si>
  <si>
    <t xml:space="preserve">Voz por perfil</t>
  </si>
  <si>
    <t xml:space="preserve">Velocidade, tom e voz salvos por jogador (hoje globais), com amostra de áudio na troca de perfil.</t>
  </si>
  <si>
    <t xml:space="preserve">A-180</t>
  </si>
  <si>
    <t xml:space="preserve">Botão ouvir amostra</t>
  </si>
  <si>
    <t xml:space="preserve">Na área dos responsáveis, testar cada voz instalada com uma frase do jogo antes de escolher.</t>
  </si>
  <si>
    <t xml:space="preserve">A-181</t>
  </si>
  <si>
    <t xml:space="preserve">Pacote de áudio gravado</t>
  </si>
  <si>
    <t xml:space="preserve">Frases centrais com voz humana real em Ogg Opus (3-8 MB), latência zero, híbrido com TTS para números.</t>
  </si>
  <si>
    <t xml:space="preserve">A-182</t>
  </si>
  <si>
    <t xml:space="preserve">Sons do ambiente por tema</t>
  </si>
  <si>
    <t xml:space="preserve">Espaço tem estrelas cintilantes, jardim tem pássaros: camada ambiente sutil com volume próprio.</t>
  </si>
  <si>
    <t xml:space="preserve">A-183</t>
  </si>
  <si>
    <t xml:space="preserve">Música de vitória com variações</t>
  </si>
  <si>
    <t xml:space="preserve">4 jingles curtos diferentes evitando repetição cansativa nas rodadas.</t>
  </si>
  <si>
    <t xml:space="preserve">A-184</t>
  </si>
  <si>
    <t xml:space="preserve">Feedback sonoro de progresso</t>
  </si>
  <si>
    <t xml:space="preserve">Barra de tempo emite pulso gentil nos últimos 5 segundos (opcional, desligável).</t>
  </si>
  <si>
    <t xml:space="preserve">A-185</t>
  </si>
  <si>
    <t xml:space="preserve">Mixagem clara</t>
  </si>
  <si>
    <t xml:space="preserve">Quando a voz narra, sons de fundo baixam automaticamente (ducking) para entender melhor as palavras.</t>
  </si>
  <si>
    <t xml:space="preserve">A-186</t>
  </si>
  <si>
    <t xml:space="preserve">Modo só voz ou só efeitos</t>
  </si>
  <si>
    <t xml:space="preserve">Interruptores separados para narração e efeitos, além do silenciar geral atual.</t>
  </si>
  <si>
    <t xml:space="preserve">A-187</t>
  </si>
  <si>
    <t xml:space="preserve">Contagem falada educativa</t>
  </si>
  <si>
    <t xml:space="preserve">Tocar objetos narra um, dois, três com entonação de música, reforçando o one-to-one correspondence.</t>
  </si>
  <si>
    <t xml:space="preserve">A-188</t>
  </si>
  <si>
    <t xml:space="preserve">Audiodescrição de enredo</t>
  </si>
  <si>
    <t xml:space="preserve">Histórias lidas com atuação (pontos de exclamação, suspense) usando as técnicas de prosódia do estudo.</t>
  </si>
  <si>
    <t xml:space="preserve">A-189</t>
  </si>
  <si>
    <t xml:space="preserve">Silêncio inteligente</t>
  </si>
  <si>
    <t xml:space="preserve">Detectar aba oculta já pausa; estender para pausar narração quando headset desconecta.</t>
  </si>
  <si>
    <t xml:space="preserve">A-190</t>
  </si>
  <si>
    <t xml:space="preserve">Volume por horário</t>
  </si>
  <si>
    <t xml:space="preserve">Curva automática de volume (mais baixo à noite) configurável.</t>
  </si>
  <si>
    <t xml:space="preserve">A-191</t>
  </si>
  <si>
    <t xml:space="preserve">Voz da comunidade</t>
  </si>
  <si>
    <t xml:space="preserve">Permitir gravar as falas pela família (microfone local) e usar no jogo, com liberação pelo portão.</t>
  </si>
  <si>
    <t xml:space="preserve">A-192</t>
  </si>
  <si>
    <t xml:space="preserve">Palavras de números estendidas</t>
  </si>
  <si>
    <t xml:space="preserve">numWord até 1000 (cento e vinte) para os novos conteúdos de centenas.</t>
  </si>
  <si>
    <t xml:space="preserve">A-193</t>
  </si>
  <si>
    <t xml:space="preserve">Narração bilíngue opcional</t>
  </si>
  <si>
    <t xml:space="preserve">Pergunta no idioma principal, elogio no secundário, exposição suave a segunda língua.</t>
  </si>
  <si>
    <t xml:space="preserve">A-194</t>
  </si>
  <si>
    <t xml:space="preserve">Repetir com calma</t>
  </si>
  <si>
    <t xml:space="preserve">Botão repetir toca a questão 20% mais devagar na segunda vez consecutiva.</t>
  </si>
  <si>
    <t xml:space="preserve">A-195</t>
  </si>
  <si>
    <t xml:space="preserve">Beeps neutros substituídos</t>
  </si>
  <si>
    <t xml:space="preserve">Substituir sons de erro por timbres suaves (madeira, água), já ameno, revisar com crianças reais.</t>
  </si>
  <si>
    <t xml:space="preserve">A-196</t>
  </si>
  <si>
    <t xml:space="preserve">Fila de fala corta duplicatas</t>
  </si>
  <si>
    <t xml:space="preserve">Evitar falar elogio repetido em sequência (escolher sempre fala diferente da anterior).</t>
  </si>
  <si>
    <t xml:space="preserve">A-197</t>
  </si>
  <si>
    <t xml:space="preserve">Narração do placar do duelo</t>
  </si>
  <si>
    <t xml:space="preserve">No duelo, narrar quem está ganhando de forma leve (placar: 3 a 2) ao fim de cada pergunta.</t>
  </si>
  <si>
    <t xml:space="preserve">A-198</t>
  </si>
  <si>
    <t xml:space="preserve">Nome da criança na saudação</t>
  </si>
  <si>
    <t xml:space="preserve">Abertura do app cumprimenta pelo nome do perfil ativo com hora do dia (bom dia, Bia!).</t>
  </si>
  <si>
    <t xml:space="preserve">A-199</t>
  </si>
  <si>
    <t xml:space="preserve">Modo cinema mudo</t>
  </si>
  <si>
    <t xml:space="preserve">Jogar sem qualquer fala, apenas texto e visual, para bibliotecas e salas silenciosas.</t>
  </si>
  <si>
    <t xml:space="preserve">A-200</t>
  </si>
  <si>
    <t xml:space="preserve">Teste de voz no onboarding</t>
  </si>
  <si>
    <t xml:space="preserve">Durante a criação da senha dos responsáveis, ouvir amostra da voz padrão e ajustar na hora.</t>
  </si>
  <si>
    <t xml:space="preserve">A-201</t>
  </si>
  <si>
    <t xml:space="preserve">Boletim semanal visual</t>
  </si>
  <si>
    <t xml:space="preserve">Card no painel com 4 números-chave da semana (rodadas, precisão, minutos, modos novos) em linguagem de família.</t>
  </si>
  <si>
    <t xml:space="preserve">A-202</t>
  </si>
  <si>
    <t xml:space="preserve">Mapa de calor semanal</t>
  </si>
  <si>
    <t xml:space="preserve">Calendário do mês com intensidade por dia jogado, mostrando rotina de um relance.</t>
  </si>
  <si>
    <t xml:space="preserve">A-203</t>
  </si>
  <si>
    <t xml:space="preserve">Tempo por questão</t>
  </si>
  <si>
    <t xml:space="preserve">Média de tempo de resposta por modo, indicando fluência (automatização) além de acerto.</t>
  </si>
  <si>
    <t xml:space="preserve">A-204</t>
  </si>
  <si>
    <t xml:space="preserve">Contas mais erradas</t>
  </si>
  <si>
    <t xml:space="preserve">Top 5 contas com mais erros acumulados no histórico, alimentando cartões de prática sob medida.</t>
  </si>
  <si>
    <t xml:space="preserve">A-205</t>
  </si>
  <si>
    <t xml:space="preserve">Comparação entre perfis</t>
  </si>
  <si>
    <t xml:space="preserve">No painel, ver lado a lado dois jogadores da família (sem ranking, só evolução individual).</t>
  </si>
  <si>
    <t xml:space="preserve">A-206</t>
  </si>
  <si>
    <t xml:space="preserve">Marcos alcançados</t>
  </si>
  <si>
    <t xml:space="preserve">Linha do tempo de primeiros (primeira divisão, primeiro combo 5, primeiro chefe) com datas.</t>
  </si>
  <si>
    <t xml:space="preserve">A-207</t>
  </si>
  <si>
    <t xml:space="preserve">Exportar PDF do progresso</t>
  </si>
  <si>
    <t xml:space="preserve">Relatório A4 bonito gerado localmente com gráficos do painel, para guardar ou levar à escola.</t>
  </si>
  <si>
    <t xml:space="preserve">A-208</t>
  </si>
  <si>
    <t xml:space="preserve">Alerta de estagnação</t>
  </si>
  <si>
    <t xml:space="preserve">Se precisão parou de subir por 2 semanas em um modo, o painel sugere estratégia (revisão, nível fixo menor).</t>
  </si>
  <si>
    <t xml:space="preserve">A-209</t>
  </si>
  <si>
    <t xml:space="preserve">Indicador de humor do jogo</t>
  </si>
  <si>
    <t xml:space="preserve">Taxa de uso do botão repetir e de fadiga como proxy de dificuldade emocional, com dica ao responsável.</t>
  </si>
  <si>
    <t xml:space="preserve">A-210</t>
  </si>
  <si>
    <t xml:space="preserve">Horas de tela honestas</t>
  </si>
  <si>
    <t xml:space="preserve">Tempo real de interação (excluindo pausas e overlays) somado por semana.</t>
  </si>
  <si>
    <t xml:space="preserve">A-211</t>
  </si>
  <si>
    <t xml:space="preserve">Palavras que dominou</t>
  </si>
  <si>
    <t xml:space="preserve">Lista de habilidades alcançadas em linguagem de criança (eu sei trocar dinheiro!).</t>
  </si>
  <si>
    <t xml:space="preserve">A-212</t>
  </si>
  <si>
    <t xml:space="preserve">Notas do responsável</t>
  </si>
  <si>
    <t xml:space="preserve">Campo livre por perfil onde responsáveis registram observações (falou troco no mercado hoje!).</t>
  </si>
  <si>
    <t xml:space="preserve">A-213</t>
  </si>
  <si>
    <t xml:space="preserve">Gráfico de domínio animado</t>
  </si>
  <si>
    <t xml:space="preserve">Mapa de modos x níveis com animação de crescimento ao ganhar cor verde.</t>
  </si>
  <si>
    <t xml:space="preserve">A-214</t>
  </si>
  <si>
    <t xml:space="preserve">Comparativo antes/depois</t>
  </si>
  <si>
    <t xml:space="preserve">Precisão dos primeiros 5 dias vs. últimos 5 dias por modo, evidência concreta de evolução.</t>
  </si>
  <si>
    <t xml:space="preserve">A-215</t>
  </si>
  <si>
    <t xml:space="preserve">Painel por nível escolar</t>
  </si>
  <si>
    <t xml:space="preserve">Agrupar habilidades por ano escolar esperado, ajudando responsáveis a contextualizar.</t>
  </si>
  <si>
    <t xml:space="preserve">A-216</t>
  </si>
  <si>
    <t xml:space="preserve">Sugestões do painel</t>
  </si>
  <si>
    <t xml:space="preserve">Cada métrica problemática vem com um botão de ação (praticar, revisar, ajustar meta).</t>
  </si>
  <si>
    <t xml:space="preserve">A-217</t>
  </si>
  <si>
    <t xml:space="preserve">Resumo por voz</t>
  </si>
  <si>
    <t xml:space="preserve">Ouvir resumo semanal narrado pela raposa (esta semana você...), inclusivo e simpático.</t>
  </si>
  <si>
    <t xml:space="preserve">A-218</t>
  </si>
  <si>
    <t xml:space="preserve">Metas compartilhadas</t>
  </si>
  <si>
    <t xml:space="preserve">Responsável define meta (20 rodadas nesta semana) com barra visível para a criança.</t>
  </si>
  <si>
    <t xml:space="preserve">A-219</t>
  </si>
  <si>
    <t xml:space="preserve">Histórico de níveis</t>
  </si>
  <si>
    <t xml:space="preserve">Registro de quando cada modo subiu/desceu de nível, contexto para conversas.</t>
  </si>
  <si>
    <t xml:space="preserve">A-220</t>
  </si>
  <si>
    <t xml:space="preserve">Modo comparar com BNCC</t>
  </si>
  <si>
    <t xml:space="preserve">Mostrar ao lado de cada habilidade a expectativa etária aproximada (sem rotular a criança).</t>
  </si>
  <si>
    <t xml:space="preserve">A-221</t>
  </si>
  <si>
    <t xml:space="preserve">Badge de constância</t>
  </si>
  <si>
    <t xml:space="preserve">Destaque no painel para semanas com 4+ dias jogados (constância vale mais que maratonas).</t>
  </si>
  <si>
    <t xml:space="preserve">A-222</t>
  </si>
  <si>
    <t xml:space="preserve">Filtro de período</t>
  </si>
  <si>
    <t xml:space="preserve">Painel com seletor (esta semana, este mês, sempre).</t>
  </si>
  <si>
    <t xml:space="preserve">A-223</t>
  </si>
  <si>
    <t xml:space="preserve">Dados brutos para pesquisa</t>
  </si>
  <si>
    <t xml:space="preserve">Exportação opcional completa (JSON) com dicionário de campos, para pesquisadores e pais curiosos.</t>
  </si>
  <si>
    <t xml:space="preserve">A-224</t>
  </si>
  <si>
    <t xml:space="preserve">Privacidade do painel</t>
  </si>
  <si>
    <t xml:space="preserve">Painel detalhado fica atrás da senha; versão resumida visível sem senha para consulta rápida.</t>
  </si>
  <si>
    <t xml:space="preserve">A-225</t>
  </si>
  <si>
    <t xml:space="preserve">Traduzir números para linguagem</t>
  </si>
  <si>
    <t xml:space="preserve">Em vez de 78% de precisão, também dizer 4 de cada 5 continhas de primeira.</t>
  </si>
  <si>
    <t xml:space="preserve">A-226</t>
  </si>
  <si>
    <t xml:space="preserve">PWA da versão web</t>
  </si>
  <si>
    <t xml:space="preserve">web/index.html como PWA instalável (manifest + service worker), funcionando como app em tablets de escola.</t>
  </si>
  <si>
    <t xml:space="preserve">A-227</t>
  </si>
  <si>
    <t xml:space="preserve">Testes automatizados do motor</t>
  </si>
  <si>
    <t xml:space="preserve">Suite unitária dos 12 geradores e do sistema de pontos rodando em CI por release.</t>
  </si>
  <si>
    <t xml:space="preserve">A-228</t>
  </si>
  <si>
    <t xml:space="preserve">Smoke test E2E automático</t>
  </si>
  <si>
    <t xml:space="preserve">Playwright rodando rodada completa, portão e opções a cada build, substituindo QA manual básico.</t>
  </si>
  <si>
    <t xml:space="preserve">A-229</t>
  </si>
  <si>
    <t xml:space="preserve">Versão Firefox ESR verificada</t>
  </si>
  <si>
    <t xml:space="preserve">Matriz de compatibilidade testada contra ESR (115/128) documentada por release.</t>
  </si>
  <si>
    <t xml:space="preserve">A-230</t>
  </si>
  <si>
    <t xml:space="preserve">Estados de erro amigáveis</t>
  </si>
  <si>
    <t xml:space="preserve">Tela gentil de fallback se storage falhar (modo memória), com aviso de que o progresso não salvará.</t>
  </si>
  <si>
    <t xml:space="preserve">A-231</t>
  </si>
  <si>
    <t xml:space="preserve">Reduzir tamanho do pacote</t>
  </si>
  <si>
    <t xml:space="preserve">Auditoria de assets e minificação dos JS no build de publicação (alvo: menos de 50 KB).</t>
  </si>
  <si>
    <t xml:space="preserve">A-232</t>
  </si>
  <si>
    <t xml:space="preserve">i18n por arquivo</t>
  </si>
  <si>
    <t xml:space="preserve">Migrar i18n.js para um arquivo por idioma carregado on-demand, reduzindo parse inicial.</t>
  </si>
  <si>
    <t xml:space="preserve">A-233</t>
  </si>
  <si>
    <t xml:space="preserve">Estado versionado com migrações</t>
  </si>
  <si>
    <t xml:space="preserve">Framework de migração cc_state (v3, v4...) com testes para evoluir schema sem perder progresso.</t>
  </si>
  <si>
    <t xml:space="preserve">A-234</t>
  </si>
  <si>
    <t xml:space="preserve">Modo desenvolvedor</t>
  </si>
  <si>
    <t xml:space="preserve">Painel oculto (tecla F3) com estado ao vivo, geradores manuais e botão de dados fake para testes.</t>
  </si>
  <si>
    <t xml:space="preserve">A-235</t>
  </si>
  <si>
    <t xml:space="preserve">Build única multi-navegador</t>
  </si>
  <si>
    <t xml:space="preserve">Experimento: um manifest com event page alternativa detectada em runtime, se as lojas permitirem.</t>
  </si>
  <si>
    <t xml:space="preserve">A-236</t>
  </si>
  <si>
    <t xml:space="preserve">Assinatura de releases</t>
  </si>
  <si>
    <t xml:space="preserve">Publicar assinatura (minisign) dos zips para verificação de integridade por terceiros.</t>
  </si>
  <si>
    <t xml:space="preserve">A-237</t>
  </si>
  <si>
    <t xml:space="preserve">Favicon e ícones temáticos</t>
  </si>
  <si>
    <t xml:space="preserve">Ícone da extensão muda sutilmente em dias festivos (chapeuzinho no 123).</t>
  </si>
  <si>
    <t xml:space="preserve">A-238</t>
  </si>
  <si>
    <t xml:space="preserve">Documentação técnica viva</t>
  </si>
  <si>
    <t xml:space="preserve">ARCHITECTURE.md na raiz descrevendo módulos, fluxo de estado e pontos de extensão.</t>
  </si>
  <si>
    <t xml:space="preserve">A-239</t>
  </si>
  <si>
    <t xml:space="preserve">Telemetria local honesta</t>
  </si>
  <si>
    <t xml:space="preserve">Nada de envio: mas manter contadores internos de uso de recursos para diagnóstico no painel dev.</t>
  </si>
  <si>
    <t xml:space="preserve">A-240</t>
  </si>
  <si>
    <t xml:space="preserve">Compatibilidade futura do Chrome</t>
  </si>
  <si>
    <t xml:space="preserve">Acompanhar MV3 mudanças (offscreen documents, user scripts) e testar betas por ciclo.</t>
  </si>
  <si>
    <t xml:space="preserve">A-241</t>
  </si>
  <si>
    <t xml:space="preserve">Suporte a tablet Android</t>
  </si>
  <si>
    <t xml:space="preserve">Versão web otimizada para Chrome Android com toques e layout paisagem.</t>
  </si>
  <si>
    <t xml:space="preserve">A-242</t>
  </si>
  <si>
    <t xml:space="preserve">Exportação aberta documentada</t>
  </si>
  <si>
    <t xml:space="preserve">Schema do JSON de progresso documentado publicamente, permitindo ferramentas da comunidade.</t>
  </si>
  <si>
    <t xml:space="preserve">A-243</t>
  </si>
  <si>
    <t xml:space="preserve">Roadmap público</t>
  </si>
  <si>
    <t xml:space="preserve">Página com as próximas fases e status, alimentada deste levantamento de 750.</t>
  </si>
  <si>
    <t xml:space="preserve">A-244</t>
  </si>
  <si>
    <t xml:space="preserve">Licença e créditos</t>
  </si>
  <si>
    <t xml:space="preserve">Definir licença clara do projeto (código e arte) na pasta loja/.</t>
  </si>
  <si>
    <t xml:space="preserve">A-245</t>
  </si>
  <si>
    <t xml:space="preserve">Reduzir repaint das animações</t>
  </si>
  <si>
    <t xml:space="preserve">Auditar confetes e partículas com will-change e camadas compostas para máquinas fracas.</t>
  </si>
  <si>
    <t xml:space="preserve">A-246</t>
  </si>
  <si>
    <t xml:space="preserve">Storage multi-chave</t>
  </si>
  <si>
    <t xml:space="preserve">Dividir cc_state gigante em chaves por perfil (cc_state.p1), evitando reescrever tudo a cada save.</t>
  </si>
  <si>
    <t xml:space="preserve">A-247</t>
  </si>
  <si>
    <t xml:space="preserve">Cache de vozes</t>
  </si>
  <si>
    <t xml:space="preserve">Memorizar lista de vozes disponíveis e reconsultar apenas em voiceschanged.</t>
  </si>
  <si>
    <t xml:space="preserve">A-248</t>
  </si>
  <si>
    <t xml:space="preserve">Preload de telas</t>
  </si>
  <si>
    <t xml:space="preserve">Pré-renderizar telas pesadas (loja) em fragmento invisível para abrir instantâneo.</t>
  </si>
  <si>
    <t xml:space="preserve">A-249</t>
  </si>
  <si>
    <t xml:space="preserve">Compatível com navegadores escolares</t>
  </si>
  <si>
    <t xml:space="preserve">Testar em navegadores gerenciados (políticas de escola) e documentar exceções.</t>
  </si>
  <si>
    <t xml:space="preserve">A-250</t>
  </si>
  <si>
    <t xml:space="preserve">Números mágicos centralizados</t>
  </si>
  <si>
    <t xml:space="preserve">Constantes de jogo (orçamentos, bônus) em config único documentado, facilitando balanceamento.</t>
  </si>
  <si>
    <t xml:space="preserve">Melhorias de médio impacto — 250 itens</t>
  </si>
  <si>
    <t xml:space="preserve">M-001</t>
  </si>
  <si>
    <t xml:space="preserve">Modo peso e balança</t>
  </si>
  <si>
    <t xml:space="preserve">Comparar objetos em balanças de dois pratos (mais pesado, mais leve, igual), expandindo comparação para medidas.</t>
  </si>
  <si>
    <t xml:space="preserve">M-002</t>
  </si>
  <si>
    <t xml:space="preserve">Modo trem de vagões</t>
  </si>
  <si>
    <t xml:space="preserve">Contar vagões, completar o trem faltante e juntar dois trens (soma com contexto ferroviário).</t>
  </si>
  <si>
    <t xml:space="preserve">M-003</t>
  </si>
  <si>
    <t xml:space="preserve">Modo feira</t>
  </si>
  <si>
    <t xml:space="preserve">Comprar frutas em quantidade com preços redondos, ampliando dinheiro para multiplicações simples.</t>
  </si>
  <si>
    <t xml:space="preserve">M-004</t>
  </si>
  <si>
    <t xml:space="preserve">Modo peixaria</t>
  </si>
  <si>
    <t xml:space="preserve">Dividir peixes igualmente entre tanques com animação de nado, contexto novo para divisão.</t>
  </si>
  <si>
    <t xml:space="preserve">M-005</t>
  </si>
  <si>
    <t xml:space="preserve">Modo corrida até 20</t>
  </si>
  <si>
    <t xml:space="preserve">Cada acerto avança casas num tabuleiro corrido contra a raposa, com fim comemorativo.</t>
  </si>
  <si>
    <t xml:space="preserve">M-006</t>
  </si>
  <si>
    <t xml:space="preserve">Quebra-cabeça numérico</t>
  </si>
  <si>
    <t xml:space="preserve">Encaixar peças de 1 a 10 no lugar certo do tabuleiro de madeira virtual.</t>
  </si>
  <si>
    <t xml:space="preserve">M-007</t>
  </si>
  <si>
    <t xml:space="preserve">Memória das continhas</t>
  </si>
  <si>
    <t xml:space="preserve">Jogo da memória casando conta com resultado (3+2 com 5), clássico que ancora fatos.</t>
  </si>
  <si>
    <t xml:space="preserve">M-008</t>
  </si>
  <si>
    <t xml:space="preserve">Dominó de pontos</t>
  </si>
  <si>
    <t xml:space="preserve">Dominó tradicional com pontinhos, casando quantidades iguais, para 1 ou 2 jogadores locais.</t>
  </si>
  <si>
    <t xml:space="preserve">M-009</t>
  </si>
  <si>
    <t xml:space="preserve">Boliche da subtração</t>
  </si>
  <si>
    <t xml:space="preserve">Derrubar pinos e calcular quantos ficaram (10 - 4), subtração corporal e divertida.</t>
  </si>
  <si>
    <t xml:space="preserve">M-010</t>
  </si>
  <si>
    <t xml:space="preserve">Máquina de refrigerante</t>
  </si>
  <si>
    <t xml:space="preserve">Inserir moedas certas para comprar, treino de composição de valores com máquina tocável.</t>
  </si>
  <si>
    <t xml:space="preserve">M-011</t>
  </si>
  <si>
    <t xml:space="preserve">Modo estacionamento</t>
  </si>
  <si>
    <t xml:space="preserve">Estacionar carinhos numerados na vaga certa (número, ou resultado da conta), ordenação e identificação.</t>
  </si>
  <si>
    <t xml:space="preserve">M-012</t>
  </si>
  <si>
    <t xml:space="preserve">Escada do macaco</t>
  </si>
  <si>
    <t xml:space="preserve">Subir escada respondendo o próximo número, com macaquinho saltitante, energia para sequências.</t>
  </si>
  <si>
    <t xml:space="preserve">M-013</t>
  </si>
  <si>
    <t xml:space="preserve">Modo sombra dos números</t>
  </si>
  <si>
    <t xml:space="preserve">Casa o número com a quantidade de sombras/objetos correspondente, reforço de subitização.</t>
  </si>
  <si>
    <t xml:space="preserve">M-014</t>
  </si>
  <si>
    <t xml:space="preserve">Comparar pesos numéricos</t>
  </si>
  <si>
    <t xml:space="preserve">Nível alto do comparar: qual número é maior entre 87 e 78, com escala visual.</t>
  </si>
  <si>
    <t xml:space="preserve">M-015</t>
  </si>
  <si>
    <t xml:space="preserve">Modo relógio digital</t>
  </si>
  <si>
    <t xml:space="preserve">Ajustar horas num relógio digital a partir do analógico e vice-versa.</t>
  </si>
  <si>
    <t xml:space="preserve">M-016</t>
  </si>
  <si>
    <t xml:space="preserve">Modo troco exato</t>
  </si>
  <si>
    <t xml:space="preserve">Pagar com a combinação exata de moedas escolhendo entre moedas tocáveis, composição flexível.</t>
  </si>
  <si>
    <t xml:space="preserve">M-017</t>
  </si>
  <si>
    <t xml:space="preserve">Histórias do jogador</t>
  </si>
  <si>
    <t xml:space="preserve">A criança escolhe personagem e objeto da história antes de jogar, dona do enredo.</t>
  </si>
  <si>
    <t xml:space="preserve">M-018</t>
  </si>
  <si>
    <t xml:space="preserve">Modo chuva de números</t>
  </si>
  <si>
    <t xml:space="preserve">Números caem e a criança toca os que respondem a continha no céu, arcade leve.</t>
  </si>
  <si>
    <t xml:space="preserve">M-019</t>
  </si>
  <si>
    <t xml:space="preserve">Modo ponte</t>
  </si>
  <si>
    <t xml:space="preserve">Construir ponte com tábuas numeradas em ordem, mistura sequência e motricidade.</t>
  </si>
  <si>
    <t xml:space="preserve">M-020</t>
  </si>
  <si>
    <t xml:space="preserve">Vale-expresso do chefe</t>
  </si>
  <si>
    <t xml:space="preserve">Se o chefe estiver difícil, comprar com estrelas um chefe fácil (treino) antes do oficial.</t>
  </si>
  <si>
    <t xml:space="preserve">M-021</t>
  </si>
  <si>
    <t xml:space="preserve">Níveis de chefe</t>
  </si>
  <si>
    <t xml:space="preserve">Chefes com 3 patentes (aprendiz, mestre, lenda) e dificuldade crescente, ciclo longo de objetivo.</t>
  </si>
  <si>
    <t xml:space="preserve">M-022</t>
  </si>
  <si>
    <t xml:space="preserve">Modo espelho do duelo</t>
  </si>
  <si>
    <t xml:space="preserve">Duelo contra o próprio recorde anterior (fantasma da raposa), competir consigo mesmo.</t>
  </si>
  <si>
    <t xml:space="preserve">M-023</t>
  </si>
  <si>
    <t xml:space="preserve">Cartas de desafio</t>
  </si>
  <si>
    <t xml:space="preserve">Cartas coletáveis que modificam a rodada (respostas viradas, tempo dourado), aleatoriedade alegre.</t>
  </si>
  <si>
    <t xml:space="preserve">M-024</t>
  </si>
  <si>
    <t xml:space="preserve">Modo biblioteca silenciosa</t>
  </si>
  <si>
    <t xml:space="preserve">Rodadas sem celebração sonora e com confetes mínimos, para ambientes compartilhados.</t>
  </si>
  <si>
    <t xml:space="preserve">M-025</t>
  </si>
  <si>
    <t xml:space="preserve">Desafio da família no fim de semana</t>
  </si>
  <si>
    <t xml:space="preserve">Rodada especial com enredo de família (pizza para todos: 8 pedaços, 4 pessoas), contexto real.</t>
  </si>
  <si>
    <t xml:space="preserve">M-026</t>
  </si>
  <si>
    <t xml:space="preserve">Modo número do dia</t>
  </si>
  <si>
    <t xml:space="preserve">Explorar um número por dia (3: três morangos, três patinhos, 1+2), cápsula diária.</t>
  </si>
  <si>
    <t xml:space="preserve">M-027</t>
  </si>
  <si>
    <t xml:space="preserve">Brincadeira do escondido</t>
  </si>
  <si>
    <t xml:space="preserve">Achar o grupinho escondido com a quantidade pedida na cena, contagem visual ativa.</t>
  </si>
  <si>
    <t xml:space="preserve">M-028</t>
  </si>
  <si>
    <t xml:space="preserve">Modo cortina</t>
  </si>
  <si>
    <t xml:space="preserve">Contar objetos que aparecem atrás de cortina que abre por instantes, memória visual.</t>
  </si>
  <si>
    <t xml:space="preserve">M-029</t>
  </si>
  <si>
    <t xml:space="preserve">Restaurante das frações</t>
  </si>
  <si>
    <t xml:space="preserve">Servir pizza em fatias pedidas (metade para Bia), frações em contexto real (nível introdutório).</t>
  </si>
  <si>
    <t xml:space="preserve">M-030</t>
  </si>
  <si>
    <t xml:space="preserve">Modo relâmpago opcional</t>
  </si>
  <si>
    <t xml:space="preserve">Rodada de 10 questões rápidas com pontuação em dobro para quem quiser emoção (opt-in por perfil).</t>
  </si>
  <si>
    <t xml:space="preserve">M-031</t>
  </si>
  <si>
    <t xml:space="preserve">Gincana de estações</t>
  </si>
  <si>
    <t xml:space="preserve">Rodada que mistura os 4 conteúdos da estação do ano com cenário sazonal.</t>
  </si>
  <si>
    <t xml:space="preserve">M-032</t>
  </si>
  <si>
    <t xml:space="preserve">Modo biólogo</t>
  </si>
  <si>
    <t xml:space="preserve">Contar bichos de espécies diferentes e agrupar (3 raposas, 5 corujas), contagem categorizada.</t>
  </si>
  <si>
    <t xml:space="preserve">M-033</t>
  </si>
  <si>
    <t xml:space="preserve">Construtor de cidades</t>
  </si>
  <si>
    <t xml:space="preserve">Cada acerto entrega um bloco; a criança monta a cidade livremente no fundo da tela inicial.</t>
  </si>
  <si>
    <t xml:space="preserve">M-034</t>
  </si>
  <si>
    <t xml:space="preserve">Modo farol</t>
  </si>
  <si>
    <t xml:space="preserve">Guia barquinhos ao porto contando as ondas corretas, sequência com atmosfera calma.</t>
  </si>
  <si>
    <t xml:space="preserve">M-035</t>
  </si>
  <si>
    <t xml:space="preserve">Quiz de números por ouvir</t>
  </si>
  <si>
    <t xml:space="preserve">A voz fala um número e a criança escolhe entre 3 escritos, leitura de numerais.</t>
  </si>
  <si>
    <t xml:space="preserve">M-036</t>
  </si>
  <si>
    <t xml:space="preserve">Modo estrelas cadentes</t>
  </si>
  <si>
    <t xml:space="preserve">Tocar pares de estrelas que somam 10 (amigos do 10), fatos de decomposição memoráveis.</t>
  </si>
  <si>
    <t xml:space="preserve">M-037</t>
  </si>
  <si>
    <t xml:space="preserve">Caixa registradora</t>
  </si>
  <si>
    <t xml:space="preserve">Digitar valores numa registradora tocável para fechar vendinha, símbolos e teclado numérico.</t>
  </si>
  <si>
    <t xml:space="preserve">M-038</t>
  </si>
  <si>
    <t xml:space="preserve">Modo xereta</t>
  </si>
  <si>
    <t xml:space="preserve">Achar quantos objetos há na casa da raposa em cena rica, contagem exploratória livre.</t>
  </si>
  <si>
    <t xml:space="preserve">M-039</t>
  </si>
  <si>
    <t xml:space="preserve">Modo metro</t>
  </si>
  <si>
    <t xml:space="preserve">Medir cobras e lápis com réguas de blocos, contagem com contexto de medida.</t>
  </si>
  <si>
    <t xml:space="preserve">M-040</t>
  </si>
  <si>
    <t xml:space="preserve">Roda das operações</t>
  </si>
  <si>
    <t xml:space="preserve">Roda giratória sorteia a operação da questão com animação de suspense no Mistão.</t>
  </si>
  <si>
    <t xml:space="preserve">M-041</t>
  </si>
  <si>
    <t xml:space="preserve">Tema escuro próprio</t>
  </si>
  <si>
    <t xml:space="preserve">Tema noturno além do Espaço, pensado para uso à noite com menos brilho (amARELO suave, fundo grafite).</t>
  </si>
  <si>
    <t xml:space="preserve">M-042</t>
  </si>
  <si>
    <t xml:space="preserve">Modo paisagem otimizado</t>
  </si>
  <si>
    <t xml:space="preserve">Layout específico para janelas largas: visual à esquerda, respostas à direita, aproveitando tela cheia.</t>
  </si>
  <si>
    <t xml:space="preserve">M-043</t>
  </si>
  <si>
    <t xml:space="preserve">Breadcrumb de retorno</t>
  </si>
  <si>
    <t xml:space="preserve">Voltar sempre para onde veio (loja para início, jogo para modo), sem saltos de contexto.</t>
  </si>
  <si>
    <t xml:space="preserve">M-044</t>
  </si>
  <si>
    <t xml:space="preserve">Undo do perfil</t>
  </si>
  <si>
    <t xml:space="preserve">Botão desfazer ao trocar de perfil por engano (voltar ao anterior em 5 segundos).</t>
  </si>
  <si>
    <t xml:space="preserve">M-045</t>
  </si>
  <si>
    <t xml:space="preserve">Pin de perfis favoritos</t>
  </si>
  <si>
    <t xml:space="preserve">Perfil mais usado fica primeiro com estrelinha, menos toques até jogar.</t>
  </si>
  <si>
    <t xml:space="preserve">M-046</t>
  </si>
  <si>
    <t xml:space="preserve">Busca na área dos responsáveis</t>
  </si>
  <si>
    <t xml:space="preserve">Campo de busca para achar opções (digite limit e ir direto ao limite de sessão).</t>
  </si>
  <si>
    <t xml:space="preserve">M-047</t>
  </si>
  <si>
    <t xml:space="preserve">Dica contextual no primeiro uso de cada modo</t>
  </si>
  <si>
    <t xml:space="preserve">Balão único explicando o modo na primeira vez, não repetitivo.</t>
  </si>
  <si>
    <t xml:space="preserve">M-048</t>
  </si>
  <si>
    <t xml:space="preserve">Respostas ordenadas</t>
  </si>
  <si>
    <t xml:space="preserve">Opção de mostrar alternativas em ordem crescente (ajuda crianças com discalculia a estimar).</t>
  </si>
  <si>
    <t xml:space="preserve">M-049</t>
  </si>
  <si>
    <t xml:space="preserve">Zoom de objetos</t>
  </si>
  <si>
    <t xml:space="preserve">Apertar e segurar um objeto amplifica ele (contar com lupa).</t>
  </si>
  <si>
    <t xml:space="preserve">M-050</t>
  </si>
  <si>
    <t xml:space="preserve">Animação de transição entre telas</t>
  </si>
  <si>
    <t xml:space="preserve">Transições suaves de 200ms entre telas (slide) respeitando modo calmo.</t>
  </si>
  <si>
    <t xml:space="preserve">M-051</t>
  </si>
  <si>
    <t xml:space="preserve">Indicador de save</t>
  </si>
  <si>
    <t xml:space="preserve">Ponto discreto confirmando que o progresso salvou (tranquiliza famílias).</t>
  </si>
  <si>
    <t xml:space="preserve">M-052</t>
  </si>
  <si>
    <t xml:space="preserve">Histórico acessível durante o jogo</t>
  </si>
  <si>
    <t xml:space="preserve">Ver as respostas da rodada atual num painel lateral de gaveta (revisão instantânea).</t>
  </si>
  <si>
    <t xml:space="preserve">M-053</t>
  </si>
  <si>
    <t xml:space="preserve">Botão pausa universal</t>
  </si>
  <si>
    <t xml:space="preserve">Pausar rodada (cobrir tela, pausar timer) sem sair do modo, para interrupções reais de família.</t>
  </si>
  <si>
    <t xml:space="preserve">M-054</t>
  </si>
  <si>
    <t xml:space="preserve">Barra de progresso em coração</t>
  </si>
  <si>
    <t xml:space="preserve">Progresso das 5 questões como corações que enchem, alternativa aos pontos atuais.</t>
  </si>
  <si>
    <t xml:space="preserve">M-055</t>
  </si>
  <si>
    <t xml:space="preserve">Mostrar quantas estrelas faltam</t>
  </si>
  <si>
    <t xml:space="preserve">No card de modo bloqueado, barra de progresso até desbloquear (a 7 estrelas do Mistão!).</t>
  </si>
  <si>
    <t xml:space="preserve">M-056</t>
  </si>
  <si>
    <t xml:space="preserve">Resumo da rodada em cartão</t>
  </si>
  <si>
    <t xml:space="preserve">Fim de rodada mostra card compartilhável (arquivo) com destaques.</t>
  </si>
  <si>
    <t xml:space="preserve">M-057</t>
  </si>
  <si>
    <t xml:space="preserve">Rótulos sonoros</t>
  </si>
  <si>
    <t xml:space="preserve">Ao focar botões via teclado, som curtinho identifica o botão (nav por áudio).</t>
  </si>
  <si>
    <t xml:space="preserve">M-058</t>
  </si>
  <si>
    <t xml:space="preserve">Ordem fixa dos modos com aprendidos primeiro</t>
  </si>
  <si>
    <t xml:space="preserve">Opção de ordenar grade pelos modos em treino no momento.</t>
  </si>
  <si>
    <t xml:space="preserve">M-059</t>
  </si>
  <si>
    <t xml:space="preserve">Tela de espera bonita</t>
  </si>
  <si>
    <t xml:space="preserve">Se iniciar em máquina lenta, tela de carregamento com raposa contando, nunca em branco.</t>
  </si>
  <si>
    <t xml:space="preserve">M-060</t>
  </si>
  <si>
    <t xml:space="preserve">Confirmação visual de toques</t>
  </si>
  <si>
    <t xml:space="preserve">Ripple em todos os botões tocados (feedback constante de ação).</t>
  </si>
  <si>
    <t xml:space="preserve">M-061</t>
  </si>
  <si>
    <t xml:space="preserve">Modo uma tela</t>
  </si>
  <si>
    <t xml:space="preserve">Opção de esconder chips de dificuldade e controles extras para telas mínimas.</t>
  </si>
  <si>
    <t xml:space="preserve">M-062</t>
  </si>
  <si>
    <t xml:space="preserve">Tema alto contraste ajustável</t>
  </si>
  <si>
    <t xml:space="preserve">Escolher entre preto/branco e amarelo/preto no modo HC.</t>
  </si>
  <si>
    <t xml:space="preserve">M-063</t>
  </si>
  <si>
    <t xml:space="preserve">Fonte da interface configurável</t>
  </si>
  <si>
    <t xml:space="preserve">Além da fonte para dislexia, opção serifada/sans nas opções.</t>
  </si>
  <si>
    <t xml:space="preserve">M-064</t>
  </si>
  <si>
    <t xml:space="preserve">Contador de estrelas animado</t>
  </si>
  <si>
    <t xml:space="preserve">Estrelas voam do acerto até o contador no topo (ligação causa-efeito).</t>
  </si>
  <si>
    <t xml:space="preserve">M-065</t>
  </si>
  <si>
    <t xml:space="preserve">Mapa de modos com cenas</t>
  </si>
  <si>
    <t xml:space="preserve">Cada modo com mini-cena de fundo (feira, espaço) em vez de cor chapada, identidade maior.</t>
  </si>
  <si>
    <t xml:space="preserve">M-066</t>
  </si>
  <si>
    <t xml:space="preserve">Botão de repetição sempre visível</t>
  </si>
  <si>
    <t xml:space="preserve">Repetir a pergunta como botão grande ao lado das respostas, não só no topbar.</t>
  </si>
  <si>
    <t xml:space="preserve">M-067</t>
  </si>
  <si>
    <t xml:space="preserve">Estado do cronômetro no chip</t>
  </si>
  <si>
    <t xml:space="preserve">Chip do nível mostra relógio pequeno quando bônus está ativo, clareza de estado.</t>
  </si>
  <si>
    <t xml:space="preserve">M-068</t>
  </si>
  <si>
    <t xml:space="preserve">Página inicial com atalhos recentes</t>
  </si>
  <si>
    <t xml:space="preserve">Card jogar de novo (último modo) para retomada instantânea.</t>
  </si>
  <si>
    <t xml:space="preserve">M-069</t>
  </si>
  <si>
    <t xml:space="preserve">Modo coluna única para telas estreitas</t>
  </si>
  <si>
    <t xml:space="preserve">Janela estreita empilha hero e modos sem espremer (auditado a 320px).</t>
  </si>
  <si>
    <t xml:space="preserve">M-070</t>
  </si>
  <si>
    <t xml:space="preserve">Sons desligáveis por tipo</t>
  </si>
  <si>
    <t xml:space="preserve">Desligar só confete-sonoro ou só cliques, mixagem fina.</t>
  </si>
  <si>
    <t xml:space="preserve">M-071</t>
  </si>
  <si>
    <t xml:space="preserve">Ícones com rótulo sempre</t>
  </si>
  <si>
    <t xml:space="preserve">Botões de ícone (loja, conquistas) com rótulo textual permanente, não só tooltip.</t>
  </si>
  <si>
    <t xml:space="preserve">M-072</t>
  </si>
  <si>
    <t xml:space="preserve">Aviso de novo modo desbloqueado na entrada</t>
  </si>
  <si>
    <t xml:space="preserve">Ao voltar ao início, banner do modo novo com botão experimentar agora.</t>
  </si>
  <si>
    <t xml:space="preserve">M-073</t>
  </si>
  <si>
    <t xml:space="preserve">Perfil com foto de avatar grande</t>
  </si>
  <si>
    <t xml:space="preserve">Popover de perfis com avatares maiores e estrelas de cada um, decisão de troca fácil.</t>
  </si>
  <si>
    <t xml:space="preserve">M-074</t>
  </si>
  <si>
    <t xml:space="preserve">Relógio do dia no canto</t>
  </si>
  <si>
    <t xml:space="preserve">Mostrar hora discreta (criança aprende a perceber tempo de tela).</t>
  </si>
  <si>
    <t xml:space="preserve">M-075</t>
  </si>
  <si>
    <t xml:space="preserve">Botão fechar overlay maior</t>
  </si>
  <si>
    <t xml:space="preserve">X de fechar overlays com alvo 56px e cor contrastante.</t>
  </si>
  <si>
    <t xml:space="preserve">M-076</t>
  </si>
  <si>
    <t xml:space="preserve">Scroll indicator nas opções</t>
  </si>
  <si>
    <t xml:space="preserve">Barra de progresso de leitura na área dos responsáveis longa.</t>
  </si>
  <si>
    <t xml:space="preserve">M-077</t>
  </si>
  <si>
    <t xml:space="preserve">Toque duplo desbloqueia dica</t>
  </si>
  <si>
    <t xml:space="preserve">Em vez de hint automático, dica sob demanda (tocar duas vezes na questão) evita dependência.</t>
  </si>
  <si>
    <t xml:space="preserve">M-078</t>
  </si>
  <si>
    <t xml:space="preserve">Vibração de erro desativável</t>
  </si>
  <si>
    <t xml:space="preserve">Separar háptica de acerto e erro nas opções móveis.</t>
  </si>
  <si>
    <t xml:space="preserve">M-079</t>
  </si>
  <si>
    <t xml:space="preserve">Preservar posição de scroll</t>
  </si>
  <si>
    <t xml:space="preserve">Voltar ao início mantém onde a criança estava na grade de modos.</t>
  </si>
  <si>
    <t xml:space="preserve">M-080</t>
  </si>
  <si>
    <t xml:space="preserve">Modo esquerda/direita no duelo</t>
  </si>
  <si>
    <t xml:space="preserve">Cada jogador tem seu lado da tela destacado no duelo (clareza de turno).</t>
  </si>
  <si>
    <t xml:space="preserve">M-081</t>
  </si>
  <si>
    <t xml:space="preserve">Tour interativo inicial</t>
  </si>
  <si>
    <t xml:space="preserve">3 passos com a raposa apresentando modos, estrelas e meta diária na primeira abertura.</t>
  </si>
  <si>
    <t xml:space="preserve">M-082</t>
  </si>
  <si>
    <t xml:space="preserve">Onboarding da senha em duas linhas</t>
  </si>
  <si>
    <t xml:space="preserve">Simplificar o texto do onboarding dos responsáveis para leitura de 5 segundos.</t>
  </si>
  <si>
    <t xml:space="preserve">M-083</t>
  </si>
  <si>
    <t xml:space="preserve">Modo demonstração</t>
  </si>
  <si>
    <t xml:space="preserve">Rodada de exemplo auto-jogada (a raposa responde) mostrando como funciona, assistível na home.</t>
  </si>
  <si>
    <t xml:space="preserve">M-084</t>
  </si>
  <si>
    <t xml:space="preserve">Central de ajuda</t>
  </si>
  <si>
    <t xml:space="preserve">Página de perguntas frequentes dentro das opções (sem internet), organizada por tema.</t>
  </si>
  <si>
    <t xml:space="preserve">M-085</t>
  </si>
  <si>
    <t xml:space="preserve">Dica do lembrete com exemplo</t>
  </si>
  <si>
    <t xml:space="preserve">No campo do lembrete, mostrar 3 exemplos reais clicáveis (cor do primeiro carrinho, etc.).</t>
  </si>
  <si>
    <t xml:space="preserve">M-086</t>
  </si>
  <si>
    <t xml:space="preserve">Confirmação da senha digitada</t>
  </si>
  <si>
    <t xml:space="preserve">Olho para revelar já existe; adicionar bipe suave quando as duas senhas coincidem.</t>
  </si>
  <si>
    <t xml:space="preserve">M-087</t>
  </si>
  <si>
    <t xml:space="preserve">Aviso para anotar a senha</t>
  </si>
  <si>
    <t xml:space="preserve">Recomendação explícita de anotar a senha no papel de casa, com carinho e sem constrangimento.</t>
  </si>
  <si>
    <t xml:space="preserve">M-088</t>
  </si>
  <si>
    <t xml:space="preserve">Primeira rodada assistida</t>
  </si>
  <si>
    <t xml:space="preserve">Na primeira questão da vida do perfil, a raposa conta junto os objetos (tutorial orgânico).</t>
  </si>
  <si>
    <t xml:space="preserve">M-089</t>
  </si>
  <si>
    <t xml:space="preserve">Botão o que é isto?</t>
  </si>
  <si>
    <t xml:space="preserve">Ícone ? em cada bloco da área dos responsáveis com explicação de uma linha.</t>
  </si>
  <si>
    <t xml:space="preserve">M-090</t>
  </si>
  <si>
    <t xml:space="preserve">Vídeo de 60 segundos</t>
  </si>
  <si>
    <t xml:space="preserve">Vídeo embutido (sem internet: GIF curto) mostrando o fluxo do jogo para responsáveis.</t>
  </si>
  <si>
    <t xml:space="preserve">M-091</t>
  </si>
  <si>
    <t xml:space="preserve">Checklist de configuração</t>
  </si>
  <si>
    <t xml:space="preserve">No painel: 4 itens de configuração recomendada (senha, limite, idioma, voz) com check.</t>
  </si>
  <si>
    <t xml:space="preserve">M-092</t>
  </si>
  <si>
    <t xml:space="preserve">Revisitar o onboarding</t>
  </si>
  <si>
    <t xml:space="preserve">Botão rever tour na área dos responsáveis (para avós que chegaram depois).</t>
  </si>
  <si>
    <t xml:space="preserve">M-093</t>
  </si>
  <si>
    <t xml:space="preserve">Perguntas por faixa de idade no setup</t>
  </si>
  <si>
    <t xml:space="preserve">Onboarding pergunta idade e sugere nível inicial e modos, pós-confirmado pela avaliação.</t>
  </si>
  <si>
    <t xml:space="preserve">M-094</t>
  </si>
  <si>
    <t xml:space="preserve">Teste de som no setup</t>
  </si>
  <si>
    <t xml:space="preserve">Botão toca som de acerto no onboarding, garantindo volume adequado antes de jogar.</t>
  </si>
  <si>
    <t xml:space="preserve">M-095</t>
  </si>
  <si>
    <t xml:space="preserve">Guia rápido impresso</t>
  </si>
  <si>
    <t xml:space="preserve">PDF de 1 página para imprimir com regras do jogo e dicas de acompanhamento.</t>
  </si>
  <si>
    <t xml:space="preserve">M-096</t>
  </si>
  <si>
    <t xml:space="preserve">Tooltips pausáveis</t>
  </si>
  <si>
    <t xml:space="preserve">Dicas durante o jogo não somem se o dedo/cursor está sobre elas.</t>
  </si>
  <si>
    <t xml:space="preserve">M-097</t>
  </si>
  <si>
    <t xml:space="preserve">Modo revisão do tutorial</t>
  </si>
  <si>
    <t xml:space="preserve">Repetir primeira rodada assistida se a criança ficou perdida (detector de abandono no 1º dia).</t>
  </si>
  <si>
    <t xml:space="preserve">M-098</t>
  </si>
  <si>
    <t xml:space="preserve">Explicação da pontuação</t>
  </si>
  <si>
    <t xml:space="preserve">Card ilustrado explicando estrelas, pontos e combo na área dos responsáveis.</t>
  </si>
  <si>
    <t xml:space="preserve">M-099</t>
  </si>
  <si>
    <t xml:space="preserve">Senha: barra de força gentil</t>
  </si>
  <si>
    <t xml:space="preserve">Indicar frouxa/média/forte com emojis gentis, sem julgar senhas simples legítimas.</t>
  </si>
  <si>
    <t xml:space="preserve">M-100</t>
  </si>
  <si>
    <t xml:space="preserve">Acessibilidade no onboarding</t>
  </si>
  <si>
    <t xml:space="preserve">Primeira tela do onboarding oferece atalhos de acessibilidade (contraste, fonte, som).</t>
  </si>
  <si>
    <t xml:space="preserve">M-101</t>
  </si>
  <si>
    <t xml:space="preserve">Nome do jogador com sugestões</t>
  </si>
  <si>
    <t xml:space="preserve">Sugestões de apelidos divertidos (Zeca Raposa, Ana Estrela) para quem não sabe o que escrever.</t>
  </si>
  <si>
    <t xml:space="preserve">M-102</t>
  </si>
  <si>
    <t xml:space="preserve">Onboarding pula o que já sabe</t>
  </si>
  <si>
    <t xml:space="preserve">Detectar uso anterior (arquivo importado) e pular tour básico.</t>
  </si>
  <si>
    <t xml:space="preserve">M-103</t>
  </si>
  <si>
    <t xml:space="preserve">Dica de contexto no duelo</t>
  </si>
  <si>
    <t xml:space="preserve">Primeiro duelo mostra um turno de exemplo antes de começar.</t>
  </si>
  <si>
    <t xml:space="preserve">M-104</t>
  </si>
  <si>
    <t xml:space="preserve">Ajuda por voz</t>
  </si>
  <si>
    <t xml:space="preserve">Perguntar como jogar? à raposa dá explicação falada curta.</t>
  </si>
  <si>
    <t xml:space="preserve">M-105</t>
  </si>
  <si>
    <t xml:space="preserve">Estado de boas-vindas de volta</t>
  </si>
  <si>
    <t xml:space="preserve">Após 7 dias sem entrar, tela de boas-vindas de volta (sem culpa, só alegria).</t>
  </si>
  <si>
    <t xml:space="preserve">M-106</t>
  </si>
  <si>
    <t xml:space="preserve">Preços em contexto</t>
  </si>
  <si>
    <t xml:space="preserve">Loja mostra quanto falta em rodadas (3 rodadas para a coroa) além de estrelas.</t>
  </si>
  <si>
    <t xml:space="preserve">M-107</t>
  </si>
  <si>
    <t xml:space="preserve">Presente surpresa</t>
  </si>
  <si>
    <t xml:space="preserve">A cada 10 compras, um item grátis aleatório (algoritmo transparente para a criança).</t>
  </si>
  <si>
    <t xml:space="preserve">M-108</t>
  </si>
  <si>
    <t xml:space="preserve">Casa da raposa decorável</t>
  </si>
  <si>
    <t xml:space="preserve">Cenário da tela inicial ganha móveis compráveis (tapete, quadro), investimentos persistente.</t>
  </si>
  <si>
    <t xml:space="preserve">M-109</t>
  </si>
  <si>
    <t xml:space="preserve">Carteira de figurinhas trocáveis</t>
  </si>
  <si>
    <t xml:space="preserve">Trocar figurinhas repetidas com a raposa por itens pequenos (negociação simpática).</t>
  </si>
  <si>
    <t xml:space="preserve">M-110</t>
  </si>
  <si>
    <t xml:space="preserve">Pacotes temáticos</t>
  </si>
  <si>
    <t xml:space="preserve">Pacote Espaço (tema + chapéu + 5 figurinhas) com preço menor que itens separados.</t>
  </si>
  <si>
    <t xml:space="preserve">M-111</t>
  </si>
  <si>
    <t xml:space="preserve">Loja do dia</t>
  </si>
  <si>
    <t xml:space="preserve">3 itens em destaque rotativos (sofá da loja) com etiqueta especial.</t>
  </si>
  <si>
    <t xml:space="preserve">M-112</t>
  </si>
  <si>
    <t xml:space="preserve">Prévia em cena</t>
  </si>
  <si>
    <t xml:space="preserve">Ver o chapéu na raposa antes de comprar (manequim).</t>
  </si>
  <si>
    <t xml:space="preserve">M-113</t>
  </si>
  <si>
    <t xml:space="preserve">Favoritos da loja</t>
  </si>
  <si>
    <t xml:space="preserve">Marcar itens desejados com coração, lista visível no painel dos responsáveis.</t>
  </si>
  <si>
    <t xml:space="preserve">M-114</t>
  </si>
  <si>
    <t xml:space="preserve">Estrelas do bem</t>
  </si>
  <si>
    <t xml:space="preserve">Doar estrelas para a árvore da comunidade do jogo (meta coletiva local), generosidade como mecânica.</t>
  </si>
  <si>
    <t xml:space="preserve">M-115</t>
  </si>
  <si>
    <t xml:space="preserve">Aniversário de perfil</t>
  </si>
  <si>
    <t xml:space="preserve">No dia configurado, loja abre com tudo em promoção de aniversário (metade das estrelas).</t>
  </si>
  <si>
    <t xml:space="preserve">M-116</t>
  </si>
  <si>
    <t xml:space="preserve">Conquistas com níveis</t>
  </si>
  <si>
    <t xml:space="preserve">Conquistas bronze/prata/ouro (5, 25, 100 dias de ofensiva), profundidade de objetivo.</t>
  </si>
  <si>
    <t xml:space="preserve">M-117</t>
  </si>
  <si>
    <t xml:space="preserve">Conquistas secretas</t>
  </si>
  <si>
    <t xml:space="preserve">3 conquistas escondidas com dicas enigmáticas (descubra!), mistério gostoso.</t>
  </si>
  <si>
    <t xml:space="preserve">M-118</t>
  </si>
  <si>
    <t xml:space="preserve">Vitrine de conquistas</t>
  </si>
  <si>
    <t xml:space="preserve">Escolher 3 conquistas para exibir na tela inicial.</t>
  </si>
  <si>
    <t xml:space="preserve">M-119</t>
  </si>
  <si>
    <t xml:space="preserve">Missões cooperativas</t>
  </si>
  <si>
    <t xml:space="preserve">Missão da semana que conta rodadas de todos os perfis juntos.</t>
  </si>
  <si>
    <t xml:space="preserve">M-120</t>
  </si>
  <si>
    <t xml:space="preserve">Missão da raposa</t>
  </si>
  <si>
    <t xml:space="preserve">A cada semana a mascote pede algo específico (me ajude a contar 50 morangos), narrativa viva.</t>
  </si>
  <si>
    <t xml:space="preserve">M-121</t>
  </si>
  <si>
    <t xml:space="preserve">Nível social do jogo</t>
  </si>
  <si>
    <t xml:space="preserve">Título do perfil (aprendiz de contas, mestre dos números) exibido com carinho.</t>
  </si>
  <si>
    <t xml:space="preserve">M-122</t>
  </si>
  <si>
    <t xml:space="preserve">Etiqueta educativa da loja</t>
  </si>
  <si>
    <t xml:space="preserve">Cada item da loja traz uma frase curta explicando o que ensina ou dá (tema muda as cores, chapéu veste a raposa), tornando a economia transparente.</t>
  </si>
  <si>
    <t xml:space="preserve">M-123</t>
  </si>
  <si>
    <t xml:space="preserve">Recompensa por revisão completa</t>
  </si>
  <si>
    <t xml:space="preserve">Zerar a fila de revisão do dia concede bônus fixo, valorizando consolidar antes de avançar.</t>
  </si>
  <si>
    <t xml:space="preserve">M-124</t>
  </si>
  <si>
    <t xml:space="preserve">Selo do modo favorito</t>
  </si>
  <si>
    <t xml:space="preserve">Modo mais jogado recebe selo no card.</t>
  </si>
  <si>
    <t xml:space="preserve">M-125</t>
  </si>
  <si>
    <t xml:space="preserve">Economia balanceada documentada</t>
  </si>
  <si>
    <t xml:space="preserve">Planilha pública dos preços e ganhos para calibrar inflação de estrelas.</t>
  </si>
  <si>
    <t xml:space="preserve">M-126</t>
  </si>
  <si>
    <t xml:space="preserve">Loja com sons de caixa</t>
  </si>
  <si>
    <t xml:space="preserve">Sons de caixa registradora nas compras, feedback tátil-auditivo.</t>
  </si>
  <si>
    <t xml:space="preserve">M-127</t>
  </si>
  <si>
    <t xml:space="preserve">Estrelas vs pontos claros</t>
  </si>
  <si>
    <t xml:space="preserve">Card explicativo na loja: estrelas compram, pontos registram rapidez.</t>
  </si>
  <si>
    <t xml:space="preserve">M-128</t>
  </si>
  <si>
    <t xml:space="preserve">Desfazer compra</t>
  </si>
  <si>
    <t xml:space="preserve">Botão desfazer em 5 segundos após compra acidental (crianças erram toque).</t>
  </si>
  <si>
    <t xml:space="preserve">M-129</t>
  </si>
  <si>
    <t xml:space="preserve">Modo sem economia</t>
  </si>
  <si>
    <t xml:space="preserve">Chave nas opções esconde preços e converte tudo em uso livre.</t>
  </si>
  <si>
    <t xml:space="preserve">M-130</t>
  </si>
  <si>
    <t xml:space="preserve">Ofensiva com perdão</t>
  </si>
  <si>
    <t xml:space="preserve">1 congelamento de ofensiva por semana (escudo de gelo), protege rotinas com imprevistos.</t>
  </si>
  <si>
    <t xml:space="preserve">M-131</t>
  </si>
  <si>
    <t xml:space="preserve">Meta de estrelas por modo</t>
  </si>
  <si>
    <t xml:space="preserve">Cada modo tem mini-meta (50 estrelas em somar) com troféu de prateleira.</t>
  </si>
  <si>
    <t xml:space="preserve">M-132</t>
  </si>
  <si>
    <t xml:space="preserve">Prateleira de troféus</t>
  </si>
  <si>
    <t xml:space="preserve">Estante visual na home exibindo troféus e recordes, orgulho em exibição.</t>
  </si>
  <si>
    <t xml:space="preserve">M-133</t>
  </si>
  <si>
    <t xml:space="preserve">Comprar tema com prévia de tela</t>
  </si>
  <si>
    <t xml:space="preserve">Ver a home inteira com o tema aplicado antes de comprar.</t>
  </si>
  <si>
    <t xml:space="preserve">M-134</t>
  </si>
  <si>
    <t xml:space="preserve">Presente entre perfis</t>
  </si>
  <si>
    <t xml:space="preserve">Enviar 5 estrelas de um perfil ao irmão (gentileza local monitorada).</t>
  </si>
  <si>
    <t xml:space="preserve">M-135</t>
  </si>
  <si>
    <t xml:space="preserve">Loja falada</t>
  </si>
  <si>
    <t xml:space="preserve">Voz lê nome e preço dos itens ao focar (inclusão de não leitores).</t>
  </si>
  <si>
    <t xml:space="preserve">M-136</t>
  </si>
  <si>
    <t xml:space="preserve">Histórico de compras</t>
  </si>
  <si>
    <t xml:space="preserve">Lista do que foi comprado e quando no painel (transparência familiar).</t>
  </si>
  <si>
    <t xml:space="preserve">M-137</t>
  </si>
  <si>
    <t xml:space="preserve">Moeda de esforço alternativa</t>
  </si>
  <si>
    <t xml:space="preserve">Itens também compráveis com pontos de rapidez (⚡), duas rotas de conquista.</t>
  </si>
  <si>
    <t xml:space="preserve">M-138</t>
  </si>
  <si>
    <t xml:space="preserve">Emotes da raposa</t>
  </si>
  <si>
    <t xml:space="preserve">Comprar reações da mascote (joia, palmas) usadas nos overlays.</t>
  </si>
  <si>
    <t xml:space="preserve">M-139</t>
  </si>
  <si>
    <t xml:space="preserve">Bau diário opcional</t>
  </si>
  <si>
    <t xml:space="preserve">Baú com 2 estrelas abre com 1 rodada (não com dinheiro real, nunca).</t>
  </si>
  <si>
    <t xml:space="preserve">M-140</t>
  </si>
  <si>
    <t xml:space="preserve">Calendário de recompensas mensal</t>
  </si>
  <si>
    <t xml:space="preserve">Grade mensal: jogar marca o dia; 15 dias marcados = prêmio de constância.</t>
  </si>
  <si>
    <t xml:space="preserve">M-141</t>
  </si>
  <si>
    <t xml:space="preserve">Duelo local de 2 perfis</t>
  </si>
  <si>
    <t xml:space="preserve">Duelo atual usa avatares; evoluir para escolher dois perfis reais do dispositivo com placar registrado nos dois.</t>
  </si>
  <si>
    <t xml:space="preserve">M-142</t>
  </si>
  <si>
    <t xml:space="preserve">Torneio familiar local</t>
  </si>
  <si>
    <t xml:space="preserve">Chaveamento simples de 4 perfis do mesmo computador, disputa por rodadas em um dia, sem rede.</t>
  </si>
  <si>
    <t xml:space="preserve">M-143</t>
  </si>
  <si>
    <t xml:space="preserve">Placar de casa</t>
  </si>
  <si>
    <t xml:space="preserve">Quadro de honorários da família (top 5 por pontos da semana) sem nomes completos, só avatares.</t>
  </si>
  <si>
    <t xml:space="preserve">M-144</t>
  </si>
  <si>
    <t xml:space="preserve">Turnos passados</t>
  </si>
  <si>
    <t xml:space="preserve">Duelo em turnos gravados: irmão joga, outro continua depois (asíncrono local).</t>
  </si>
  <si>
    <t xml:space="preserve">M-145</t>
  </si>
  <si>
    <t xml:space="preserve">Mural de elogios</t>
  </si>
  <si>
    <t xml:space="preserve">Perfil pode deixar elogio fixo para outro perfil da casa (escolhido de lista pronta), afeto sem UGC livre.</t>
  </si>
  <si>
    <t xml:space="preserve">M-146</t>
  </si>
  <si>
    <t xml:space="preserve">Modo plateia</t>
  </si>
  <si>
    <t xml:space="preserve">Terceiro perfil assiste o duelo com torcida (botões de aplauso sonoro), pertencimento sem competir.</t>
  </si>
  <si>
    <t xml:space="preserve">M-147</t>
  </si>
  <si>
    <t xml:space="preserve">Desafio do dia compartilhado</t>
  </si>
  <si>
    <t xml:space="preserve">Mesma sequência de questões para todos os perfis do dispositivo (seed do dia), comparação justa de resultado.</t>
  </si>
  <si>
    <t xml:space="preserve">M-148</t>
  </si>
  <si>
    <t xml:space="preserve">Time da família</t>
  </si>
  <si>
    <t xml:space="preserve">Somar estrelas de todos num objetivo coletivo mensal (árvore cresce), união sem ranking individual.</t>
  </si>
  <si>
    <t xml:space="preserve">M-149</t>
  </si>
  <si>
    <t xml:space="preserve">Código de convite local</t>
  </si>
  <si>
    <t xml:space="preserve">Exportar desafio como arquivo/código que outro computador com o app importa e joga a mesma rodada.</t>
  </si>
  <si>
    <t xml:space="preserve">M-150</t>
  </si>
  <si>
    <t xml:space="preserve">Cartões postais do jogo</t>
  </si>
  <si>
    <t xml:space="preserve">Gerar cartão bonito de conquista para imprimir/regalar, o social físico.</t>
  </si>
  <si>
    <t xml:space="preserve">M-151</t>
  </si>
  <si>
    <t xml:space="preserve">Espelho de comportamento</t>
  </si>
  <si>
    <t xml:space="preserve">Resumo mensal para conversa em família: o que cada perfil mais jogou e aprendeu.</t>
  </si>
  <si>
    <t xml:space="preserve">M-152</t>
  </si>
  <si>
    <t xml:space="preserve">Duelo de professora</t>
  </si>
  <si>
    <t xml:space="preserve">Perfil adulto (responsável) pode jogar duelo com a criança, vínculo e risada garantidos.</t>
  </si>
  <si>
    <t xml:space="preserve">M-153</t>
  </si>
  <si>
    <t xml:space="preserve">Regras anti-falha do social</t>
  </si>
  <si>
    <t xml:space="preserve">Documento do design social: princípios de nenhum contato externo, sem texto livre entre jogadores.</t>
  </si>
  <si>
    <t xml:space="preserve">M-154</t>
  </si>
  <si>
    <t xml:space="preserve">Apelidos moderados</t>
  </si>
  <si>
    <t xml:space="preserve">Lista de palavras proibidas local para nomes de perfil (sem dados pessoais, sem palavrões).</t>
  </si>
  <si>
    <t xml:space="preserve">M-155</t>
  </si>
  <si>
    <t xml:space="preserve">Avatar personalizado por peças</t>
  </si>
  <si>
    <t xml:space="preserve">Montar avatar com 3 escolhas (corpo, cor, adereço) além dos emojis fixos.</t>
  </si>
  <si>
    <t xml:space="preserve">M-156</t>
  </si>
  <si>
    <t xml:space="preserve">Aniversários da casa</t>
  </si>
  <si>
    <t xml:space="preserve">Perfil comemora aniversário configurado com festa na home para todos os perfis verem.</t>
  </si>
  <si>
    <t xml:space="preserve">M-157</t>
  </si>
  <si>
    <t xml:space="preserve">Cooperativa de missões</t>
  </si>
  <si>
    <t xml:space="preserve">Missões diárias que pedem rodadas de 2 perfis diferentes para completar (turnos alternados).</t>
  </si>
  <si>
    <t xml:space="preserve">M-158</t>
  </si>
  <si>
    <t xml:space="preserve">Gincana de sala (web)</t>
  </si>
  <si>
    <t xml:space="preserve">Na versão web/escola, lista de alunos local (sem rede) com rodadas cronometradas e resultado coletivo.</t>
  </si>
  <si>
    <t xml:space="preserve">M-159</t>
  </si>
  <si>
    <t xml:space="preserve">Sentinela de comparativo</t>
  </si>
  <si>
    <t xml:space="preserve">Evitar qualquer tela que compare criança com média externa; comparar só consigo mesma (princípio de design).</t>
  </si>
  <si>
    <t xml:space="preserve">M-160</t>
  </si>
  <si>
    <t xml:space="preserve">Elogio da raposa ao vencido</t>
  </si>
  <si>
    <t xml:space="preserve">No fim do duelo, a raposa parabeniza quem perdeu pelo esforço específico (moldura gentil de derrota).</t>
  </si>
  <si>
    <t xml:space="preserve">M-161</t>
  </si>
  <si>
    <t xml:space="preserve">Modo espectador calmo</t>
  </si>
  <si>
    <t xml:space="preserve">No duelo local, irmão menor pode virar assistente (escolhe avatar, conta junto).</t>
  </si>
  <si>
    <t xml:space="preserve">M-162</t>
  </si>
  <si>
    <t xml:space="preserve">Fotos de grupo da mascote</t>
  </si>
  <si>
    <t xml:space="preserve">Todos os avatares da família posam numa foto-cartaz gerada localmente.</t>
  </si>
  <si>
    <t xml:space="preserve">M-163</t>
  </si>
  <si>
    <t xml:space="preserve">Corrente da generosidade</t>
  </si>
  <si>
    <t xml:space="preserve">Ato gentil registrado (presente de estrelas) vira corrente decorativa na casa.</t>
  </si>
  <si>
    <t xml:space="preserve">M-164</t>
  </si>
  <si>
    <t xml:space="preserve">Olimpíada de inverno/verão</t>
  </si>
  <si>
    <t xml:space="preserve">Evento sazonal local com 4 provas temáticas e medalhas para todos os participantes.</t>
  </si>
  <si>
    <t xml:space="preserve">M-165</t>
  </si>
  <si>
    <t xml:space="preserve">Placar opcional escondível</t>
  </si>
  <si>
    <t xml:space="preserve">Famílias podem desligar qualquer exibição de placar/duelo (algumas crianças preferem sem competição).</t>
  </si>
  <si>
    <t xml:space="preserve">M-166</t>
  </si>
  <si>
    <t xml:space="preserve">Exportação automática agendada</t>
  </si>
  <si>
    <t xml:space="preserve">Ao fechar o app, perguntar (1x/semana) se quer salvar backup externo (download).</t>
  </si>
  <si>
    <t xml:space="preserve">M-167</t>
  </si>
  <si>
    <t xml:space="preserve">Importação com prévia</t>
  </si>
  <si>
    <t xml:space="preserve">Antes de aplicar JSON, mostrar resumo (perfis, estrelas, data) e escolher mesclar ou substituir.</t>
  </si>
  <si>
    <t xml:space="preserve">M-168</t>
  </si>
  <si>
    <t xml:space="preserve">Mesclar dois backups</t>
  </si>
  <si>
    <t xml:space="preserve">Ferramenta que une dois exports da mesma criança (união de recordes e conquistas).</t>
  </si>
  <si>
    <t xml:space="preserve">M-169</t>
  </si>
  <si>
    <t xml:space="preserve">QR code de transferência</t>
  </si>
  <si>
    <t xml:space="preserve">Gerar QR do progresso para transferir entre computadores da casa via câmera (web), sem nuvem.</t>
  </si>
  <si>
    <t xml:space="preserve">M-170</t>
  </si>
  <si>
    <t xml:space="preserve">Limite de sync com consentimento duplo</t>
  </si>
  <si>
    <t xml:space="preserve">Ativação e desativação da sincronização sempre com senha dos responsáveis.</t>
  </si>
  <si>
    <t xml:space="preserve">M-171</t>
  </si>
  <si>
    <t xml:space="preserve">Indicador de último sync</t>
  </si>
  <si>
    <t xml:space="preserve">Mostrar quando foi a última sincronização bem-sucedida e status da fila.</t>
  </si>
  <si>
    <t xml:space="preserve">M-172</t>
  </si>
  <si>
    <t xml:space="preserve">Conflitos resolvidos por campo</t>
  </si>
  <si>
    <t xml:space="preserve">Sync atual adota o mais recente inteiro; evoluir para união por campo (recordes máximos).</t>
  </si>
  <si>
    <t xml:space="preserve">M-173</t>
  </si>
  <si>
    <t xml:space="preserve">Armazenamento auditado</t>
  </si>
  <si>
    <t xml:space="preserve">Painel mostra quanto espaço o cc_state ocupa (tranquilidade técnica).</t>
  </si>
  <si>
    <t xml:space="preserve">M-174</t>
  </si>
  <si>
    <t xml:space="preserve">Modo escola multi-usuário</t>
  </si>
  <si>
    <t xml:space="preserve">Versão web com troca rápida entre muitas crianças (sem limite de 4 perfis, para laboratório).</t>
  </si>
  <si>
    <t xml:space="preserve">M-175</t>
  </si>
  <si>
    <t xml:space="preserve">Exportar CSV para professores</t>
  </si>
  <si>
    <t xml:space="preserve">Planilha CSV do painel de progresso (modo, nível, precisão) para trabalho escolar.</t>
  </si>
  <si>
    <t xml:space="preserve">M-176</t>
  </si>
  <si>
    <t xml:space="preserve">Roda sem localStorage</t>
  </si>
  <si>
    <t xml:space="preserve">Detectar browsers com storage bloqueado (modo privado estrito) e avisar com carinho de que o progresso vive só em memória.</t>
  </si>
  <si>
    <t xml:space="preserve">M-177</t>
  </si>
  <si>
    <t xml:space="preserve">Backup do backup</t>
  </si>
  <si>
    <t xml:space="preserve">Manter cópia interna da versão anterior do estado antes de cada importação (recuperação instantânea).</t>
  </si>
  <si>
    <t xml:space="preserve">M-178</t>
  </si>
  <si>
    <t xml:space="preserve">Modo viajante</t>
  </si>
  <si>
    <t xml:space="preserve">Exportação para uso em celular da família (QR ou arquivo) mantendo perfil único.</t>
  </si>
  <si>
    <t xml:space="preserve">M-179</t>
  </si>
  <si>
    <t xml:space="preserve">Apagar com dupla confirmação</t>
  </si>
  <si>
    <t xml:space="preserve">Apagar tudo exige senha + digitar APAGAR (hoje só confirm), refletindo gravidade.</t>
  </si>
  <si>
    <t xml:space="preserve">M-180</t>
  </si>
  <si>
    <t xml:space="preserve">Preferências separadas de progresso</t>
  </si>
  <si>
    <t xml:space="preserve">Exportar só configurações (sem progresso) para setar vários computadores rapidinho.</t>
  </si>
  <si>
    <t xml:space="preserve">M-181</t>
  </si>
  <si>
    <t xml:space="preserve">Assinatura de versão no export</t>
  </si>
  <si>
    <t xml:space="preserve">Exportar inclui versão do schema; importador antigo avisa e migra automaticamente.</t>
  </si>
  <si>
    <t xml:space="preserve">M-182</t>
  </si>
  <si>
    <t xml:space="preserve">Nome de arquivo padronizado</t>
  </si>
  <si>
    <t xml:space="preserve">Export gera conta-comigo-backup-YYYYMMDD.json (organização da pasta de downloads).</t>
  </si>
  <si>
    <t xml:space="preserve">M-183</t>
  </si>
  <si>
    <t xml:space="preserve">Vazamento zero no console</t>
  </si>
  <si>
    <t xml:space="preserve">Auditar logs removidos em produção (nenhum dado impresso no console).</t>
  </si>
  <si>
    <t xml:space="preserve">M-184</t>
  </si>
  <si>
    <t xml:space="preserve">Storage comprimido</t>
  </si>
  <si>
    <t xml:space="preserve">Comprimir cc_state ( LZ baseline manual simples) se exceder 1 MB (usuários antigos com semanas).</t>
  </si>
  <si>
    <t xml:space="preserve">M-185</t>
  </si>
  <si>
    <t xml:space="preserve">Semeadura de dados demo</t>
  </si>
  <si>
    <t xml:space="preserve">Botão criar perfil de demonstração com dados fictícios para escolas testarem sem medo.</t>
  </si>
  <si>
    <t xml:space="preserve">M-186</t>
  </si>
  <si>
    <t xml:space="preserve">Migração v1 v2 v3 documentada</t>
  </si>
  <si>
    <t xml:space="preserve">Tabela pública de versões de estado e o que cada migração faz.</t>
  </si>
  <si>
    <t xml:space="preserve">M-187</t>
  </si>
  <si>
    <t xml:space="preserve">Integridade do sync</t>
  </si>
  <si>
    <t xml:space="preserve">Checksum no payload de sync para detectar truncamento do chrome.storage.</t>
  </si>
  <si>
    <t xml:space="preserve">M-188</t>
  </si>
  <si>
    <t xml:space="preserve">Escolha do ativo ao importar</t>
  </si>
  <si>
    <t xml:space="preserve">Ao importar backup com 4 perfis, perguntar qual fica ativo.</t>
  </si>
  <si>
    <t xml:space="preserve">M-189</t>
  </si>
  <si>
    <t xml:space="preserve">Limpar cache de vozes</t>
  </si>
  <si>
    <t xml:space="preserve">Comando de manutenção que reseta fila de TTS e cache de vozes quando voz fica muda.</t>
  </si>
  <si>
    <t xml:space="preserve">M-190</t>
  </si>
  <si>
    <t xml:space="preserve">Exportar só um perfil</t>
  </si>
  <si>
    <t xml:space="preserve">Export seletivo de um jogador (para dividir irmãos em computadores diferentes).</t>
  </si>
  <si>
    <t xml:space="preserve">M-191</t>
  </si>
  <si>
    <t xml:space="preserve">Orçamento de 60fps</t>
  </si>
  <si>
    <t xml:space="preserve">Perfil de performance garantindo 60fps nas animações de acerto em máquinas antigas (testes em CPU 4x).</t>
  </si>
  <si>
    <t xml:space="preserve">M-192</t>
  </si>
  <si>
    <t xml:space="preserve">Confetes em canvas</t>
  </si>
  <si>
    <t xml:space="preserve">Migrar confetes de DOM para canvas único com pool de partículas (menos layout thrash).</t>
  </si>
  <si>
    <t xml:space="preserve">M-193</t>
  </si>
  <si>
    <t xml:space="preserve">Lazy render da home</t>
  </si>
  <si>
    <t xml:space="preserve">Renderizar grade de modos só quando visível (telas pequenas).</t>
  </si>
  <si>
    <t xml:space="preserve">M-194</t>
  </si>
  <si>
    <t xml:space="preserve">Debounce nos sliders</t>
  </si>
  <si>
    <t xml:space="preserve">Volume/velocidade salvam em debounce 300ms (menos escritas de storage).</t>
  </si>
  <si>
    <t xml:space="preserve">M-195</t>
  </si>
  <si>
    <t xml:space="preserve">Memória auditada</t>
  </si>
  <si>
    <t xml:space="preserve">Verificar leaks de listeners em overlays reabertos (ferramenta de heap snapshot no modo dev).</t>
  </si>
  <si>
    <t xml:space="preserve">M-196</t>
  </si>
  <si>
    <t xml:space="preserve">Boot sob 1 segundo</t>
  </si>
  <si>
    <t xml:space="preserve">Medir e otimizar tempo até interativo (defer, ordem de scripts).</t>
  </si>
  <si>
    <t xml:space="preserve">M-197</t>
  </si>
  <si>
    <t xml:space="preserve">Testes de regressão visual</t>
  </si>
  <si>
    <t xml:space="preserve">Screenshots automáticos das telas-chave comparadas por release (diferenças bloqueiam).</t>
  </si>
  <si>
    <t xml:space="preserve">M-198</t>
  </si>
  <si>
    <t xml:space="preserve">Recuperação de erro de render</t>
  </si>
  <si>
    <t xml:space="preserve">try-catch no render de questões: se gerador falhar, gera fallback simples (contar).</t>
  </si>
  <si>
    <t xml:space="preserve">M-199</t>
  </si>
  <si>
    <t xml:space="preserve">Logs estruturados locais</t>
  </si>
  <si>
    <t xml:space="preserve">Erro capturado vai para console com contexto (modo, nível, questão) para diagnóstico do usuário.</t>
  </si>
  <si>
    <t xml:space="preserve">M-200</t>
  </si>
  <si>
    <t xml:space="preserve">Zerar precisão flutuante</t>
  </si>
  <si>
    <t xml:space="preserve">Pontos e bônus calculados com Math.round garantido em todas as vias (auditado).</t>
  </si>
  <si>
    <t xml:space="preserve">M-201</t>
  </si>
  <si>
    <t xml:space="preserve">Timer à prova de sleep</t>
  </si>
  <si>
    <t xml:space="preserve">Cronômetro corrige salto de tempo quando o computador adormece no meio da questão.</t>
  </si>
  <si>
    <t xml:space="preserve">M-202</t>
  </si>
  <si>
    <t xml:space="preserve">Áudio à prova de suspensão</t>
  </si>
  <si>
    <t xml:space="preserve">AudioContext retoma automaticamente após suspensão do sistema (Windows/Chrome).</t>
  </si>
  <si>
    <t xml:space="preserve">M-203</t>
  </si>
  <si>
    <t xml:space="preserve">Imagens responsivas zero</t>
  </si>
  <si>
    <t xml:space="preserve">Projeto sem imagens raster: garantir que nada quebre com emoji desabilitados (fallback textual).</t>
  </si>
  <si>
    <t xml:space="preserve">M-204</t>
  </si>
  <si>
    <t xml:space="preserve">Fonte de fallback para emojis</t>
  </si>
  <si>
    <t xml:space="preserve">Detecção de sistema sem emoji (Linux minimal) com aviso e substituição por formas.</t>
  </si>
  <si>
    <t xml:space="preserve">M-205</t>
  </si>
  <si>
    <t xml:space="preserve">Snapshot de estado no erro</t>
  </si>
  <si>
    <t xml:space="preserve">Se algo quebrar, oferecer export automático do estado para debugging assistido.</t>
  </si>
  <si>
    <t xml:space="preserve">M-206</t>
  </si>
  <si>
    <t xml:space="preserve">Teste de fadiga do storage</t>
  </si>
  <si>
    <t xml:space="preserve">Automatizar 1000 saves seguidos validando integridade.</t>
  </si>
  <si>
    <t xml:space="preserve">M-207</t>
  </si>
  <si>
    <t xml:space="preserve">Animações pausáveis</t>
  </si>
  <si>
    <t xml:space="preserve">Toda animação pausa com visibilidade oculta (já parcial), garantir universal.</t>
  </si>
  <si>
    <t xml:space="preserve">M-208</t>
  </si>
  <si>
    <t xml:space="preserve">Peso do i18n no boot</t>
  </si>
  <si>
    <t xml:space="preserve">Carregar só o idioma ativo na inicialização (hoje carrega os 3).</t>
  </si>
  <si>
    <t xml:space="preserve">M-209</t>
  </si>
  <si>
    <t xml:space="preserve">Grade virtual para catálogos grandes</t>
  </si>
  <si>
    <t xml:space="preserve">Álbum com 48 figurinhas e prateleiras maiores usam lazy render.</t>
  </si>
  <si>
    <t xml:space="preserve">M-210</t>
  </si>
  <si>
    <t xml:space="preserve">Modo econômico</t>
  </si>
  <si>
    <t xml:space="preserve">Detectar máquina lenta (fps baixo persistente) e reduzir efeitos automaticamente.</t>
  </si>
  <si>
    <t xml:space="preserve">M-211</t>
  </si>
  <si>
    <t xml:space="preserve">Compatibilidade com fullscreen automático</t>
  </si>
  <si>
    <t xml:space="preserve">Testar transição de janela fullscreen do background em múltiplos monitores.</t>
  </si>
  <si>
    <t xml:space="preserve">M-212</t>
  </si>
  <si>
    <t xml:space="preserve">Robustez de relógio do usuário</t>
  </si>
  <si>
    <t xml:space="preserve">Data do sistema alterada (relógio errado) não quebra ofensiva/revisão (guardas de sanidade).</t>
  </si>
  <si>
    <t xml:space="preserve">M-213</t>
  </si>
  <si>
    <t xml:space="preserve">Idle GC das partículas</t>
  </si>
  <si>
    <t xml:space="preserve">Pool de partículas recicla nós (zero criação após aquecimento).</t>
  </si>
  <si>
    <t xml:space="preserve">M-214</t>
  </si>
  <si>
    <t xml:space="preserve">Bundle analisado</t>
  </si>
  <si>
    <t xml:space="preserve">Relatório de tamanho por módulo no build (source map básico).</t>
  </si>
  <si>
    <t xml:space="preserve">M-215</t>
  </si>
  <si>
    <t xml:space="preserve">Testes em tela de toque</t>
  </si>
  <si>
    <t xml:space="preserve">Automação com touch emulation validando alvos e gestos (swipe não dispara clique duplo).</t>
  </si>
  <si>
    <t xml:space="preserve">M-216</t>
  </si>
  <si>
    <t xml:space="preserve">Português de Portugal</t>
  </si>
  <si>
    <t xml:space="preserve">Variante pt-PT (você/ tu, moeda euro no modo dinheiro, grafias locais).</t>
  </si>
  <si>
    <t xml:space="preserve">M-217</t>
  </si>
  <si>
    <t xml:space="preserve">Moeda configurável</t>
  </si>
  <si>
    <t xml:space="preserve">Modo dinheiro com moeda escolhível (R$, €, $) sincronizada ao idioma.</t>
  </si>
  <si>
    <t xml:space="preserve">M-218</t>
  </si>
  <si>
    <t xml:space="preserve">Francês</t>
  </si>
  <si>
    <t xml:space="preserve">Tradução completa da interface, narração e numWord até 1000.</t>
  </si>
  <si>
    <t xml:space="preserve">M-219</t>
  </si>
  <si>
    <t xml:space="preserve">Alemão</t>
  </si>
  <si>
    <t xml:space="preserve">Pacote de idioma alemão com validação de comprimentos de texto (palavras longas).</t>
  </si>
  <si>
    <t xml:space="preserve">M-220</t>
  </si>
  <si>
    <t xml:space="preserve">Italiano</t>
  </si>
  <si>
    <t xml:space="preserve">Pacote de idioma italiano com revisão por falante nativo.</t>
  </si>
  <si>
    <t xml:space="preserve">M-221</t>
  </si>
  <si>
    <t xml:space="preserve">Russo</t>
  </si>
  <si>
    <t xml:space="preserve">Pacote com declinações cuidadas nas histórias (nomes flexionados).</t>
  </si>
  <si>
    <t xml:space="preserve">M-222</t>
  </si>
  <si>
    <t xml:space="preserve">Japonês</t>
  </si>
  <si>
    <t xml:space="preserve">Pacote com fontes adequadas e contagem de sílabas nas histórias.</t>
  </si>
  <si>
    <t xml:space="preserve">M-223</t>
  </si>
  <si>
    <t xml:space="preserve">Pluralização correta por idioma</t>
  </si>
  <si>
    <t xml:space="preserve">Motor de plurais com regras por locale (1 estrela/2 estrelas, one/many).</t>
  </si>
  <si>
    <t xml:space="preserve">M-224</t>
  </si>
  <si>
    <t xml:space="preserve">Formato de data por locale</t>
  </si>
  <si>
    <t xml:space="preserve">Painel e backups mostram datas no formato local (dd/mm, mm/dd).</t>
  </si>
  <si>
    <t xml:space="preserve">M-225</t>
  </si>
  <si>
    <t xml:space="preserve">Ordem das respostas cultural</t>
  </si>
  <si>
    <t xml:space="preserve">Alternativas em algarismos locais (devanágari, árabe-índico) onde aplicável.</t>
  </si>
  <si>
    <t xml:space="preserve">M-226</t>
  </si>
  <si>
    <t xml:space="preserve">RTL completo</t>
  </si>
  <si>
    <t xml:space="preserve">Suporte a árabe/hebraico: espelhar layout, histórico e barra de tempo.</t>
  </si>
  <si>
    <t xml:space="preserve">M-227</t>
  </si>
  <si>
    <t xml:space="preserve">Vozes por variante</t>
  </si>
  <si>
    <t xml:space="preserve">Selecionar voz pt-PT quando idioma pt-PT (hoje pega pt-BR), mesma lógica en-GB/en-US.</t>
  </si>
  <si>
    <t xml:space="preserve">M-228</t>
  </si>
  <si>
    <t xml:space="preserve">Tradução da loja e conquistas</t>
  </si>
  <si>
    <t xml:space="preserve">Revisar todo texto de meta-conteúdo (conquistas, loja, missões) nos 3 idiomas com falante nativo.</t>
  </si>
  <si>
    <t xml:space="preserve">M-229</t>
  </si>
  <si>
    <t xml:space="preserve">Histórias com nomes locais</t>
  </si>
  <si>
    <t xml:space="preserve">NAMES por idioma expandidos (nomes típicos de cada cultura).</t>
  </si>
  <si>
    <t xml:space="preserve">M-230</t>
  </si>
  <si>
    <t xml:space="preserve">Comida e itens locais</t>
  </si>
  <si>
    <t xml:space="preserve">Catálogo ITEMS com variante cultural (bolinho, tamal, croissant) por idioma.</t>
  </si>
  <si>
    <t xml:space="preserve">M-231</t>
  </si>
  <si>
    <t xml:space="preserve">Números por extenso até 1000</t>
  </si>
  <si>
    <t xml:space="preserve">numWord estendido nos 3 idiomas atuais para suportar centenas.</t>
  </si>
  <si>
    <t xml:space="preserve">M-232</t>
  </si>
  <si>
    <t xml:space="preserve">Acessibilidade multilíngue</t>
  </si>
  <si>
    <t xml:space="preserve">ARIA labels traduzidos e testados por idioma (hoje alguns ficam em pt).</t>
  </si>
  <si>
    <t xml:space="preserve">M-233</t>
  </si>
  <si>
    <t xml:space="preserve">Detecção automática de idioma</t>
  </si>
  <si>
    <t xml:space="preserve">Primeira abertura sugere idioma do navegador (com escolha manual sempre visível).</t>
  </si>
  <si>
    <t xml:space="preserve">M-234</t>
  </si>
  <si>
    <t xml:space="preserve">Espanhol rioplatense</t>
  </si>
  <si>
    <t xml:space="preserve">Variante es-419 neutra para América Latina (vocabulário revisado).</t>
  </si>
  <si>
    <t xml:space="preserve">M-235</t>
  </si>
  <si>
    <t xml:space="preserve">Glossário de termos de jogo</t>
  </si>
  <si>
    <t xml:space="preserve">Documento bilíngue para tradutores (combo, rodada, chefe).</t>
  </si>
  <si>
    <t xml:space="preserve">M-236</t>
  </si>
  <si>
    <t xml:space="preserve">Teste de layout por idioma</t>
  </si>
  <si>
    <t xml:space="preserve">Automação abrindo cada idioma e conferindo overflow de textos longos.</t>
  </si>
  <si>
    <t xml:space="preserve">M-237</t>
  </si>
  <si>
    <t xml:space="preserve">Polonês</t>
  </si>
  <si>
    <t xml:space="preserve">Pacote de idioma polonês.</t>
  </si>
  <si>
    <t xml:space="preserve">M-238</t>
  </si>
  <si>
    <t xml:space="preserve">Turco</t>
  </si>
  <si>
    <t xml:space="preserve">Pacote de idioma turco (atenção ao i dotless).</t>
  </si>
  <si>
    <t xml:space="preserve">M-239</t>
  </si>
  <si>
    <t xml:space="preserve">Contagem por extenso educativa</t>
  </si>
  <si>
    <t xml:space="preserve">Palavras numéricas usadas também no visual (cartões com um, dois, três) por idioma.</t>
  </si>
  <si>
    <t xml:space="preserve">M-240</t>
  </si>
  <si>
    <t xml:space="preserve">Roteiro de tradução comunitária</t>
  </si>
  <si>
    <t xml:space="preserve">Processo documentado para voluntários enviarem novos idiomas com checklist de qualidade.</t>
  </si>
  <si>
    <t xml:space="preserve">M-241</t>
  </si>
  <si>
    <t xml:space="preserve">Idioma por perfil</t>
  </si>
  <si>
    <t xml:space="preserve">Cada jogador pode jogar em idioma diferente no mesmo computador (hoje é global).</t>
  </si>
  <si>
    <t xml:space="preserve">M-242</t>
  </si>
  <si>
    <t xml:space="preserve">Horário local nas metas</t>
  </si>
  <si>
    <t xml:space="preserve">Reinício diário das metas respeita fuso (hoje usa relógio local, validar viagens).</t>
  </si>
  <si>
    <t xml:space="preserve">M-243</t>
  </si>
  <si>
    <t xml:space="preserve">Nomes de dias da semana por locale</t>
  </si>
  <si>
    <t xml:space="preserve">Faixa de ofensiva com iniciais locais (M-T-W-T em inglês).</t>
  </si>
  <si>
    <t xml:space="preserve">M-244</t>
  </si>
  <si>
    <t xml:space="preserve">Formatação de números grandes</t>
  </si>
  <si>
    <t xml:space="preserve">Separador de milhar local nos painéis (1.234 vs 1,234).</t>
  </si>
  <si>
    <t xml:space="preserve">M-245</t>
  </si>
  <si>
    <t xml:space="preserve">Modo imersão</t>
  </si>
  <si>
    <t xml:space="preserve">Interface no idioma A, narração no idioma B, aprendizagem bilíngue estruturada.</t>
  </si>
  <si>
    <t xml:space="preserve">M-246</t>
  </si>
  <si>
    <t xml:space="preserve">Capturas de loja por idioma</t>
  </si>
  <si>
    <t xml:space="preserve">Material de publicação com screenshots em pt/en/es para cada marketplace.</t>
  </si>
  <si>
    <t xml:space="preserve">M-247</t>
  </si>
  <si>
    <t xml:space="preserve">Libras e legendas priorizadas</t>
  </si>
  <si>
    <t xml:space="preserve">i18n inclui plano de acessibilidade linguística (Libras/legendas) na roadmap público.</t>
  </si>
  <si>
    <t xml:space="preserve">M-248</t>
  </si>
  <si>
    <t xml:space="preserve">Chinês simplificado</t>
  </si>
  <si>
    <t xml:space="preserve">Pacote com fontes Noto Sans SC e adaptação de enredos.</t>
  </si>
  <si>
    <t xml:space="preserve">M-249</t>
  </si>
  <si>
    <t xml:space="preserve">Indonésio</t>
  </si>
  <si>
    <t xml:space="preserve">Pacote de idioma indonésio (grande base de usuários móveis).</t>
  </si>
  <si>
    <t xml:space="preserve">M-250</t>
  </si>
  <si>
    <t xml:space="preserve">Revisão profissional por idioma</t>
  </si>
  <si>
    <t xml:space="preserve">Contratar revisão nativa dos 3 idiomas atuais (qualidade editorial).</t>
  </si>
  <si>
    <t xml:space="preserve">Melhorias de baixo impacto — 250 itens</t>
  </si>
  <si>
    <t xml:space="preserve">B-001</t>
  </si>
  <si>
    <t xml:space="preserve">Squash and stretch na mascote</t>
  </si>
  <si>
    <t xml:space="preserve">A raposa comprime e estica levemente ao reagir (princípio clássico de animação).</t>
  </si>
  <si>
    <t xml:space="preserve">B-002</t>
  </si>
  <si>
    <t xml:space="preserve">Piscar de olhos da mascote</t>
  </si>
  <si>
    <t xml:space="preserve">A raposa pisca em intervalos aleatórios na home (vida sutil).</t>
  </si>
  <si>
    <t xml:space="preserve">B-003</t>
  </si>
  <si>
    <t xml:space="preserve">Cauda balançando</t>
  </si>
  <si>
    <t xml:space="preserve">Animação CSS da cauda da raposa em loop lento quando ociosa.</t>
  </si>
  <si>
    <t xml:space="preserve">B-004</t>
  </si>
  <si>
    <t xml:space="preserve">Confete dourado em recordes</t>
  </si>
  <si>
    <t xml:space="preserve">Recordes de pontos usam confete dourado exclusivo, distinção visual de momento raro.</t>
  </si>
  <si>
    <t xml:space="preserve">B-005</t>
  </si>
  <si>
    <t xml:space="preserve">Parallax leve na home</t>
  </si>
  <si>
    <t xml:space="preserve">Cenário de fundo move 4px com o mouse (desligável pelo modo calmo).</t>
  </si>
  <si>
    <t xml:space="preserve">B-006</t>
  </si>
  <si>
    <t xml:space="preserve">Balões de fala com cauda animada</t>
  </si>
  <si>
    <t xml:space="preserve">Bolinha do balão balança quando a fala chega.</t>
  </si>
  <si>
    <t xml:space="preserve">B-007</t>
  </si>
  <si>
    <t xml:space="preserve">Transição de estrelas voadoras</t>
  </si>
  <si>
    <t xml:space="preserve">Estrela do acerto voa em arco até o contador (caminho curvo, não reto).</t>
  </si>
  <si>
    <t xml:space="preserve">B-008</t>
  </si>
  <si>
    <t xml:space="preserve">Botão pressionado com sombra</t>
  </si>
  <si>
    <t xml:space="preserve">Sombra dura desce 2px no :active de todos os botões (já parcial) padronizar.</t>
  </si>
  <si>
    <t xml:space="preserve">B-009</t>
  </si>
  <si>
    <t xml:space="preserve">Lupa nas questões com muitos objetos</t>
  </si>
  <si>
    <t xml:space="preserve">Grupos grandes (15+) recebem zoom suave alternado por fileira.</t>
  </si>
  <si>
    <t xml:space="preserve">B-010</t>
  </si>
  <si>
    <t xml:space="preserve">Fundo do jogo por modo</t>
  </si>
  <si>
    <t xml:space="preserve">Cada modo tem um gradiente de fundo próprio sutil (contar vermelho quente, dinheiro verde oliva).</t>
  </si>
  <si>
    <t xml:space="preserve">B-011</t>
  </si>
  <si>
    <t xml:space="preserve">Chuva de estrelas no combo 5</t>
  </si>
  <si>
    <t xml:space="preserve">Combo de 5 dispara chuva de estrelas em vez de confete comum.</t>
  </si>
  <si>
    <t xml:space="preserve">B-012</t>
  </si>
  <si>
    <t xml:space="preserve">Relógio do cronômetro com face</t>
  </si>
  <si>
    <t xml:space="preserve">Barra de tempo ganha ponteiro circular opcional (mostrar progresso em formato de relógio).</t>
  </si>
  <si>
    <t xml:space="preserve">B-013</t>
  </si>
  <si>
    <t xml:space="preserve">Contagem animada nos totais</t>
  </si>
  <si>
    <t xml:space="preserve">Números do painel sobem animados até o valor (count-up de 500ms).</t>
  </si>
  <si>
    <t xml:space="preserve">B-014</t>
  </si>
  <si>
    <t xml:space="preserve">Balões do duelo com cor de jogador</t>
  </si>
  <si>
    <t xml:space="preserve">Cada avatar colore o balão de fala no duelo.</t>
  </si>
  <si>
    <t xml:space="preserve">B-015</t>
  </si>
  <si>
    <t xml:space="preserve">Modo fotografia</t>
  </si>
  <si>
    <t xml:space="preserve">Botão tira screenshot estilizado da tela atual com moldura (download local).</t>
  </si>
  <si>
    <t xml:space="preserve">B-016</t>
  </si>
  <si>
    <t xml:space="preserve">Avatares com animação de entrada</t>
  </si>
  <si>
    <t xml:space="preserve">Avatares do popover pulam em sequência escalonada ao abrir.</t>
  </si>
  <si>
    <t xml:space="preserve">B-017</t>
  </si>
  <si>
    <t xml:space="preserve">Sombras de papel recortado</t>
  </si>
  <si>
    <t xml:space="preserve">Estética cut-paper consistente em cards (bordas irregulares sutil).</t>
  </si>
  <si>
    <t xml:space="preserve">B-018</t>
  </si>
  <si>
    <t xml:space="preserve">Título com arco</t>
  </si>
  <si>
    <t xml:space="preserve">Logo da home com leve arco de letras (storybook).</t>
  </si>
  <si>
    <t xml:space="preserve">B-019</t>
  </si>
  <si>
    <t xml:space="preserve">Fumaça da raposa correndo</t>
  </si>
  <si>
    <t xml:space="preserve">Ao subir de nível, a raposa corre pela tela deixando rastro (2s, calmo-safe).</t>
  </si>
  <si>
    <t xml:space="preserve">B-020</t>
  </si>
  <si>
    <t xml:space="preserve">Ícone do app com estado</t>
  </si>
  <si>
    <t xml:space="preserve">Favicon com estrela quando meta do dia completa (micro-aviso).</t>
  </si>
  <si>
    <t xml:space="preserve">B-021</t>
  </si>
  <si>
    <t xml:space="preserve">Gradiente de hora do dia</t>
  </si>
  <si>
    <t xml:space="preserve">Fundo da home muda de tom entre manhã/tarde/noite (suave).</t>
  </si>
  <si>
    <t xml:space="preserve">B-022</t>
  </si>
  <si>
    <t xml:space="preserve">Trilha de pegadas</t>
  </si>
  <si>
    <t xml:space="preserve">Pegadas da raposa aparecem ao trocar de tela (desaparecem em 3s).</t>
  </si>
  <si>
    <t xml:space="preserve">B-023</t>
  </si>
  <si>
    <t xml:space="preserve">Papel de parede do fim de rodada</t>
  </si>
  <si>
    <t xml:space="preserve">Tela final com céu noturno exibindo todas as estrelas ganhas na semana.</t>
  </si>
  <si>
    <t xml:space="preserve">B-024</t>
  </si>
  <si>
    <t xml:space="preserve">Fonte numérica bonita</t>
  </si>
  <si>
    <t xml:space="preserve">Numerais das respostas com fonte redonda amigável própria (font embutida).</t>
  </si>
  <si>
    <t xml:space="preserve">B-025</t>
  </si>
  <si>
    <t xml:space="preserve">Alto contraste com espessura</t>
  </si>
  <si>
    <t xml:space="preserve">Modo HC com opções de borda 2px/4px.</t>
  </si>
  <si>
    <t xml:space="preserve">B-026</t>
  </si>
  <si>
    <t xml:space="preserve">Vento nas flores do jardim</t>
  </si>
  <si>
    <t xml:space="preserve">Jardim do progresso balança com vento lento.</t>
  </si>
  <si>
    <t xml:space="preserve">B-027</t>
  </si>
  <si>
    <t xml:space="preserve">Nuvens passando</t>
  </si>
  <si>
    <t xml:space="preserve">2-3 nuvens atravessam o céu da home a cada 40s.</t>
  </si>
  <si>
    <t xml:space="preserve">B-028</t>
  </si>
  <si>
    <t xml:space="preserve">Estrela de meta pulsando</t>
  </si>
  <si>
    <t xml:space="preserve">Coração da meta diária pulsa quando está a 1 rodada de completar.</t>
  </si>
  <si>
    <t xml:space="preserve">B-029</t>
  </si>
  <si>
    <t xml:space="preserve">Transição de cena na loja</t>
  </si>
  <si>
    <t xml:space="preserve">Cortina teatral abre ao entrar na loja (300ms).</t>
  </si>
  <si>
    <t xml:space="preserve">B-030</t>
  </si>
  <si>
    <t xml:space="preserve">Confete respeita bordas</t>
  </si>
  <si>
    <t xml:space="preserve">Partículas nunca cobrem botões de ação (z-index e áreas seguras auditados).</t>
  </si>
  <si>
    <t xml:space="preserve">B-031</t>
  </si>
  <si>
    <t xml:space="preserve">Moeda girando no dinheiro</t>
  </si>
  <si>
    <t xml:space="preserve">Moedas do modo dinheiro giram ao serem tocadas.</t>
  </si>
  <si>
    <t xml:space="preserve">B-032</t>
  </si>
  <si>
    <t xml:space="preserve">Emoji de erro gentil</t>
  </si>
  <si>
    <t xml:space="preserve">Trocar X vermelho por nuvenzinha triste (mais suave), testar reação.</t>
  </si>
  <si>
    <t xml:space="preserve">B-033</t>
  </si>
  <si>
    <t xml:space="preserve">Relógio de pausa bonito</t>
  </si>
  <si>
    <t xml:space="preserve">Overlay de pausa da raposa com Zzz flutuantes animados.</t>
  </si>
  <si>
    <t xml:space="preserve">B-034</t>
  </si>
  <si>
    <t xml:space="preserve">Bordas dos cards com stroke duplo</t>
  </si>
  <si>
    <t xml:space="preserve">Cards com contorno interno fino (estética de caderno infantil).</t>
  </si>
  <si>
    <t xml:space="preserve">B-035</t>
  </si>
  <si>
    <t xml:space="preserve">Ampulheta girando na espera</t>
  </si>
  <si>
    <t xml:space="preserve">Espera de narração longa mostra ampulheta discreta.</t>
  </si>
  <si>
    <t xml:space="preserve">B-036</t>
  </si>
  <si>
    <t xml:space="preserve">Iluminação do mascote por tema</t>
  </si>
  <si>
    <t xml:space="preserve">Raposa com chapéu combina cores do tema ativo.</t>
  </si>
  <si>
    <t xml:space="preserve">B-037</t>
  </si>
  <si>
    <t xml:space="preserve">Pulsação do combo chip</t>
  </si>
  <si>
    <t xml:space="preserve">Chip de combo cresce 5% a cada incremento.</t>
  </si>
  <si>
    <t xml:space="preserve">B-038</t>
  </si>
  <si>
    <t xml:space="preserve">Fogos no 100 estrelas</t>
  </si>
  <si>
    <t xml:space="preserve">Marco de 100 estrelas dispara fogos na home (uma vez, calmo-safe).</t>
  </si>
  <si>
    <t xml:space="preserve">B-039</t>
  </si>
  <si>
    <t xml:space="preserve">Botão de voltar com seta animada</t>
  </si>
  <si>
    <t xml:space="preserve">Seta de voltar desliza 3px ao hover/foco.</t>
  </si>
  <si>
    <t xml:space="preserve">B-040</t>
  </si>
  <si>
    <t xml:space="preserve">Sombra do mascote no chão</t>
  </si>
  <si>
    <t xml:space="preserve">Elipse de sombra sob a raposa ancorando no cenário.</t>
  </si>
  <si>
    <t xml:space="preserve">B-041</t>
  </si>
  <si>
    <t xml:space="preserve">Modo primavera auto</t>
  </si>
  <si>
    <t xml:space="preserve">Home ganha pétalas caindo na estação (desligável).</t>
  </si>
  <si>
    <t xml:space="preserve">B-042</t>
  </si>
  <si>
    <t xml:space="preserve">Contagem em círculo</t>
  </si>
  <si>
    <t xml:space="preserve">Objetos tocados ganham círculo de contagem colorido (já existe) com animação pop.</t>
  </si>
  <si>
    <t xml:space="preserve">B-043</t>
  </si>
  <si>
    <t xml:space="preserve">Cursor da raposa</t>
  </si>
  <si>
    <t xml:space="preserve">Cursor customizado de patinha na versão web (desligável).</t>
  </si>
  <si>
    <t xml:space="preserve">B-044</t>
  </si>
  <si>
    <t xml:space="preserve">Splash de água no troco</t>
  </si>
  <si>
    <t xml:space="preserve">Moedas de troco caem com splash sonoro-visual.</t>
  </si>
  <si>
    <t xml:space="preserve">B-045</t>
  </si>
  <si>
    <t xml:space="preserve">Emblema beta no modo dev</t>
  </si>
  <si>
    <t xml:space="preserve">Modo desenvolvedor marca a tela com faixa discreta.</t>
  </si>
  <si>
    <t xml:space="preserve">B-046</t>
  </si>
  <si>
    <t xml:space="preserve">Tema Oceano</t>
  </si>
  <si>
    <t xml:space="preserve">Azul profundo, bolhas e peixinhos no fundo.</t>
  </si>
  <si>
    <t xml:space="preserve">B-047</t>
  </si>
  <si>
    <t xml:space="preserve">Tema Floresta à noite</t>
  </si>
  <si>
    <t xml:space="preserve">Verde escuro com vagalumes.</t>
  </si>
  <si>
    <t xml:space="preserve">B-048</t>
  </si>
  <si>
    <t xml:space="preserve">Tema Sorvete</t>
  </si>
  <si>
    <t xml:space="preserve">Pastéis rosa/menta com granulado.</t>
  </si>
  <si>
    <t xml:space="preserve">B-049</t>
  </si>
  <si>
    <t xml:space="preserve">Tema Aquarela</t>
  </si>
  <si>
    <t xml:space="preserve">Manchas de aquarela como fundos dos cards.</t>
  </si>
  <si>
    <t xml:space="preserve">B-050</t>
  </si>
  <si>
    <t xml:space="preserve">Tema Giz de cera</t>
  </si>
  <si>
    <t xml:space="preserve">Bordas rabiscadas estilo desenho à mão.</t>
  </si>
  <si>
    <t xml:space="preserve">B-051</t>
  </si>
  <si>
    <t xml:space="preserve">Tema Papel quadriculado</t>
  </si>
  <si>
    <t xml:space="preserve">Fundo de caderno escolar com linhas suaves.</t>
  </si>
  <si>
    <t xml:space="preserve">B-052</t>
  </si>
  <si>
    <t xml:space="preserve">Tema Festa junina</t>
  </si>
  <si>
    <t xml:space="preserve">Bandeirinhas no topo e papel picado.</t>
  </si>
  <si>
    <t xml:space="preserve">B-053</t>
  </si>
  <si>
    <t xml:space="preserve">Tema Órbita</t>
  </si>
  <si>
    <t xml:space="preserve">Planetas flutuando devagar.</t>
  </si>
  <si>
    <t xml:space="preserve">B-054</t>
  </si>
  <si>
    <t xml:space="preserve">Tema Alto contraste colorido</t>
  </si>
  <si>
    <t xml:space="preserve">Paleta vibrante de contraste para baixa visão (amarelo/preto).</t>
  </si>
  <si>
    <t xml:space="preserve">B-055</t>
  </si>
  <si>
    <t xml:space="preserve">Cor de destaque personalizável</t>
  </si>
  <si>
    <t xml:space="preserve">Escolher a cor primária da interface (seletor de 8).</t>
  </si>
  <si>
    <t xml:space="preserve">B-056</t>
  </si>
  <si>
    <t xml:space="preserve">Adereços de fundo para a raposa</t>
  </si>
  <si>
    <t xml:space="preserve">Óculos, cachecol, mochila além dos chapéus.</t>
  </si>
  <si>
    <t xml:space="preserve">B-057</t>
  </si>
  <si>
    <t xml:space="preserve">Casinha da raposa com exterior</t>
  </si>
  <si>
    <t xml:space="preserve">Escolher cor da casa (5 paletas).</t>
  </si>
  <si>
    <t xml:space="preserve">B-058</t>
  </si>
  <si>
    <t xml:space="preserve">Nome na casinha</t>
  </si>
  <si>
    <t xml:space="preserve">Placa de madeira com o nome do jogador.</t>
  </si>
  <si>
    <t xml:space="preserve">B-059</t>
  </si>
  <si>
    <t xml:space="preserve">Fonte divertida opcional</t>
  </si>
  <si>
    <t xml:space="preserve">Segunda fonte arredondada para títulos.</t>
  </si>
  <si>
    <t xml:space="preserve">B-060</t>
  </si>
  <si>
    <t xml:space="preserve">Avatar com moldura</t>
  </si>
  <si>
    <t xml:space="preserve">Molduras de avatar (flores, estrelas) compráveis.</t>
  </si>
  <si>
    <t xml:space="preserve">B-061</t>
  </si>
  <si>
    <t xml:space="preserve">Tema por horário</t>
  </si>
  <si>
    <t xml:space="preserve">Trocar tema automaticamente de dia/noite.</t>
  </si>
  <si>
    <t xml:space="preserve">B-062</t>
  </si>
  <si>
    <t xml:space="preserve">Skin de boliche</t>
  </si>
  <si>
    <t xml:space="preserve">Pinos coloridos no modo boliche futuro.</t>
  </si>
  <si>
    <t xml:space="preserve">B-063</t>
  </si>
  <si>
    <t xml:space="preserve">Fundos animados premium</t>
  </si>
  <si>
    <t xml:space="preserve">Um tema com nuvens em movimento (custo alto de estrelas).</t>
  </si>
  <si>
    <t xml:space="preserve">B-064</t>
  </si>
  <si>
    <t xml:space="preserve">Cofre visual de temas</t>
  </si>
  <si>
    <t xml:space="preserve">Vitrine de temas em grade com prévia ao passar o dedo.</t>
  </si>
  <si>
    <t xml:space="preserve">B-065</t>
  </si>
  <si>
    <t xml:space="preserve">Papéis de parede do fim de semana</t>
  </si>
  <si>
    <t xml:space="preserve">Wallpapers gerados do jogo para o computador (download).</t>
  </si>
  <si>
    <t xml:space="preserve">B-066</t>
  </si>
  <si>
    <t xml:space="preserve">Tema Festinha</t>
  </si>
  <si>
    <t xml:space="preserve">Botões e cards com mini confetes estáticos desenhados.</t>
  </si>
  <si>
    <t xml:space="preserve">B-067</t>
  </si>
  <si>
    <t xml:space="preserve">Personalizar som de acerto</t>
  </si>
  <si>
    <t xml:space="preserve">Escolher entre 4 timbres (sino, madeira, água, ukulele).</t>
  </si>
  <si>
    <t xml:space="preserve">B-068</t>
  </si>
  <si>
    <t xml:space="preserve">Botão aleatório de tema</t>
  </si>
  <si>
    <t xml:space="preserve">Dados que sorteia tema do dia (surpresa).</t>
  </si>
  <si>
    <t xml:space="preserve">B-069</t>
  </si>
  <si>
    <t xml:space="preserve">Coleção de bonés do esporte</t>
  </si>
  <si>
    <t xml:space="preserve">Bonés de times fictícios (sem marcas reais).</t>
  </si>
  <si>
    <t xml:space="preserve">B-070</t>
  </si>
  <si>
    <t xml:space="preserve">Adereço de estação</t>
  </si>
  <si>
    <t xml:space="preserve">Guarda-chuva no inverno, óculos no verão, rotativos.</t>
  </si>
  <si>
    <t xml:space="preserve">B-071</t>
  </si>
  <si>
    <t xml:space="preserve">Tema arco-íris animado</t>
  </si>
  <si>
    <t xml:space="preserve">O tema premium ganha gradiente que se move lentamente.</t>
  </si>
  <si>
    <t xml:space="preserve">B-072</t>
  </si>
  <si>
    <t xml:space="preserve">Cor do balão de fala</t>
  </si>
  <si>
    <t xml:space="preserve">Escolher cor do balão por perfil.</t>
  </si>
  <si>
    <t xml:space="preserve">B-073</t>
  </si>
  <si>
    <t xml:space="preserve">Emblema de apelido</t>
  </si>
  <si>
    <t xml:space="preserve">Título escolhido (Capitão das Contas) sob o nome.</t>
  </si>
  <si>
    <t xml:space="preserve">B-074</t>
  </si>
  <si>
    <t xml:space="preserve">Pet pequeno comprável</t>
  </si>
  <si>
    <t xml:space="preserve">Bolota, estrela, nuvem que seguem a raposa.</t>
  </si>
  <si>
    <t xml:space="preserve">B-075</t>
  </si>
  <si>
    <t xml:space="preserve">Prateleira de recordes na casa</t>
  </si>
  <si>
    <t xml:space="preserve">Quadro de madeira com recordes por modo.</t>
  </si>
  <si>
    <t xml:space="preserve">B-076</t>
  </si>
  <si>
    <t xml:space="preserve">Tema silencioso visual</t>
  </si>
  <si>
    <t xml:space="preserve">Sem gradientes, tons neutros para sensibilidade.</t>
  </si>
  <si>
    <t xml:space="preserve">B-077</t>
  </si>
  <si>
    <t xml:space="preserve">Relógio decorativo na casa</t>
  </si>
  <si>
    <t xml:space="preserve">Relógio de parede da casinha mostra a hora real.</t>
  </si>
  <si>
    <t xml:space="preserve">B-078</t>
  </si>
  <si>
    <t xml:space="preserve">Almofadas coloridas</t>
  </si>
  <si>
    <t xml:space="preserve">Itens decorativos da casa compráveis em pacote.</t>
  </si>
  <si>
    <t xml:space="preserve">B-079</t>
  </si>
  <si>
    <t xml:space="preserve">Tema Jardim noturno</t>
  </si>
  <si>
    <t xml:space="preserve">Flores que brilham levemente como luminárias no escuro.</t>
  </si>
  <si>
    <t xml:space="preserve">B-080</t>
  </si>
  <si>
    <t xml:space="preserve">Chapéu de conquista</t>
  </si>
  <si>
    <t xml:space="preserve">Chapéu exclusivo por conquista grande (coroa do chefe).</t>
  </si>
  <si>
    <t xml:space="preserve">B-081</t>
  </si>
  <si>
    <t xml:space="preserve">Calendário de parede na casa</t>
  </si>
  <si>
    <t xml:space="preserve">Mostra ofensiva da semana como calendário de papel.</t>
  </si>
  <si>
    <t xml:space="preserve">B-082</t>
  </si>
  <si>
    <t xml:space="preserve">Moldura da foto de grupo</t>
  </si>
  <si>
    <t xml:space="preserve">Molduras temáticas para a foto de família da mascote.</t>
  </si>
  <si>
    <t xml:space="preserve">B-083</t>
  </si>
  <si>
    <t xml:space="preserve">Cores do cronômetro configuráveis</t>
  </si>
  <si>
    <t xml:space="preserve">Escolher paleta da barra (padrão, azul-ciano, monocromático).</t>
  </si>
  <si>
    <t xml:space="preserve">B-084</t>
  </si>
  <si>
    <t xml:space="preserve">Chapéu herda tema</t>
  </si>
  <si>
    <t xml:space="preserve">Boné muda de cor conforme o tema ativo.</t>
  </si>
  <si>
    <t xml:space="preserve">B-085</t>
  </si>
  <si>
    <t xml:space="preserve">Tema Nostalgia</t>
  </si>
  <si>
    <t xml:space="preserve">Visual pixel-art leve para os adultos que cresceram nos 90s.</t>
  </si>
  <si>
    <t xml:space="preserve">B-086</t>
  </si>
  <si>
    <t xml:space="preserve">A raposa espirra</t>
  </si>
  <si>
    <t xml:space="preserve">Tocar na raposa 3x seguidas: espirro com confete (só carinho).</t>
  </si>
  <si>
    <t xml:space="preserve">B-087</t>
  </si>
  <si>
    <t xml:space="preserve">Konami dos números</t>
  </si>
  <si>
    <t xml:space="preserve">Código secreto na home ativa chuva de balões.</t>
  </si>
  <si>
    <t xml:space="preserve">B-088</t>
  </si>
  <si>
    <t xml:space="preserve">Aniversário do app</t>
  </si>
  <si>
    <t xml:space="preserve">No dia da instalação (comemorando 1 ano), bolo aparece na casa.</t>
  </si>
  <si>
    <t xml:space="preserve">B-089</t>
  </si>
  <si>
    <t xml:space="preserve">Modo bocejante</t>
  </si>
  <si>
    <t xml:space="preserve">Depois das 21h, a raposa boceja de leve nas transições de tela (avisando que é hora de descansar).</t>
  </si>
  <si>
    <t xml:space="preserve">B-090</t>
  </si>
  <si>
    <t xml:space="preserve">Piada do dia</t>
  </si>
  <si>
    <t xml:space="preserve">1 piada curtinha de matemática por dia no bilhete da raposa.</t>
  </si>
  <si>
    <t xml:space="preserve">B-091</t>
  </si>
  <si>
    <t xml:space="preserve">Curiosidade numérica</t>
  </si>
  <si>
    <t xml:space="preserve">Sabia que 8 é o único cubo perfeito menor que 10? Card de curiosidade semanal.</t>
  </si>
  <si>
    <t xml:space="preserve">B-092</t>
  </si>
  <si>
    <t xml:space="preserve">Estrela fugitiva</t>
  </si>
  <si>
    <t xml:space="preserve">Raramente uma estrela do acerto voa para o lado errado e volta (charme).</t>
  </si>
  <si>
    <t xml:space="preserve">B-093</t>
  </si>
  <si>
    <t xml:space="preserve">Gato do telhado</t>
  </si>
  <si>
    <t xml:space="preserve">Um gatinho aparece no cenário em dias chuvosos (detectar via data/estação).</t>
  </si>
  <si>
    <t xml:space="preserve">B-094</t>
  </si>
  <si>
    <t xml:space="preserve">Saudação de hora cheia</t>
  </si>
  <si>
    <t xml:space="preserve">Às 11h11, a raposa fala a hora bonitinha.</t>
  </si>
  <si>
    <t xml:space="preserve">B-095</t>
  </si>
  <si>
    <t xml:space="preserve">Nome secreto</t>
  </si>
  <si>
    <t xml:space="preserve">Se o perfil se chama Ana e Ana é personagem das histórias, easter egg de novela.</t>
  </si>
  <si>
    <t xml:space="preserve">B-096</t>
  </si>
  <si>
    <t xml:space="preserve">Botão de empolgar</t>
  </si>
  <si>
    <t xml:space="preserve">Segurar a estrela do contador faz ela girar (fidget digital).</t>
  </si>
  <si>
    <t xml:space="preserve">B-097</t>
  </si>
  <si>
    <t xml:space="preserve">Sons de grilo no jardim</t>
  </si>
  <si>
    <t xml:space="preserve">Tema jardim à noite tem grilos discretos.</t>
  </si>
  <si>
    <t xml:space="preserve">B-098</t>
  </si>
  <si>
    <t xml:space="preserve">Raposa imita</t>
  </si>
  <si>
    <t xml:space="preserve">No modo repetir, a raposa repete a pergunta com entonação de espelho.</t>
  </si>
  <si>
    <t xml:space="preserve">B-099</t>
  </si>
  <si>
    <t xml:space="preserve">Confete de sabores</t>
  </si>
  <si>
    <t xml:space="preserve">Confetes com formato de morango no modo de contar morangos.</t>
  </si>
  <si>
    <t xml:space="preserve">B-100</t>
  </si>
  <si>
    <t xml:space="preserve">Trocadilho da loja</t>
  </si>
  <si>
    <t xml:space="preserve">Comprando a coroa, a raposa diz agora sou a rainha das contas.</t>
  </si>
  <si>
    <t xml:space="preserve">B-101</t>
  </si>
  <si>
    <t xml:space="preserve">Número bonito</t>
  </si>
  <si>
    <t xml:space="preserve">Acertar questões cuja resposta é 42 mostra frase especial (para os pais).</t>
  </si>
  <si>
    <t xml:space="preserve">B-102</t>
  </si>
  <si>
    <t xml:space="preserve">Sexta-feira alegre</t>
  </si>
  <si>
    <t xml:space="preserve">Sextas: música de vitória ganha um acorde extra feliz.</t>
  </si>
  <si>
    <t xml:space="preserve">B-103</t>
  </si>
  <si>
    <t xml:space="preserve">Tela de carregamento das frases</t>
  </si>
  <si>
    <t xml:space="preserve">Frases engraçadas enquanto espera (se demorar): contando até... quase!</t>
  </si>
  <si>
    <t xml:space="preserve">B-104</t>
  </si>
  <si>
    <t xml:space="preserve">Balão de clima</t>
  </si>
  <si>
    <t xml:space="preserve">Na primeira chuva detectada por estação, raposa comenta.</t>
  </si>
  <si>
    <t xml:space="preserve">B-105</t>
  </si>
  <si>
    <t xml:space="preserve">Selo do silêncio</t>
  </si>
  <si>
    <t xml:space="preserve">Jogar 3 rodadas sem som: selo especial de biblioteca.</t>
  </si>
  <si>
    <t xml:space="preserve">B-106</t>
  </si>
  <si>
    <t xml:space="preserve">A coruja da noite</t>
  </si>
  <si>
    <t xml:space="preserve">Após 20h, coruja aparece no tema Espaço.</t>
  </si>
  <si>
    <t xml:space="preserve">B-107</t>
  </si>
  <si>
    <t xml:space="preserve">Eco do combo</t>
  </si>
  <si>
    <t xml:space="preserve">Combo 10+: a raposa grita em eco (desligável).</t>
  </si>
  <si>
    <t xml:space="preserve">B-108</t>
  </si>
  <si>
    <t xml:space="preserve">Relógio de pulso da raposa</t>
  </si>
  <si>
    <t xml:space="preserve">Pausa longa: raposa olha relógio dramática (humor gentil, sem pressão).</t>
  </si>
  <si>
    <t xml:space="preserve">B-109</t>
  </si>
  <si>
    <t xml:space="preserve">Botão de bolha</t>
  </si>
  <si>
    <t xml:space="preserve">Overlay de respiração com bolhas estouráveis enquanto respira.</t>
  </si>
  <si>
    <t xml:space="preserve">B-110</t>
  </si>
  <si>
    <t xml:space="preserve">Carta do futuro</t>
  </si>
  <si>
    <t xml:space="preserve">Perfil pode deixar mensagem para si mesmo daqui a 30 dias (cápsula do tempo).</t>
  </si>
  <si>
    <t xml:space="preserve">B-111</t>
  </si>
  <si>
    <t xml:space="preserve">Patinhas no histórico</t>
  </si>
  <si>
    <t xml:space="preserve">Histórico do fim de rodada tem pegadas entre linhas.</t>
  </si>
  <si>
    <t xml:space="preserve">B-112</t>
  </si>
  <si>
    <t xml:space="preserve">Torcida imaginária</t>
  </si>
  <si>
    <t xml:space="preserve">Recorde grande: plateia aplaude (som).</t>
  </si>
  <si>
    <t xml:space="preserve">B-113</t>
  </si>
  <si>
    <t xml:space="preserve">Modo espelho vertical</t>
  </si>
  <si>
    <t xml:space="preserve">Brincadeira: girar a interface 180 graus por 3 segundos no duelo empatado.</t>
  </si>
  <si>
    <t xml:space="preserve">B-114</t>
  </si>
  <si>
    <t xml:space="preserve">Estrela cadente diária</t>
  </si>
  <si>
    <t xml:space="preserve">1 estrela cadente cruza a home por dia, tocar nela dá +1 (uma vez).</t>
  </si>
  <si>
    <t xml:space="preserve">B-115</t>
  </si>
  <si>
    <t xml:space="preserve">Caixinha de música</t>
  </si>
  <si>
    <t xml:space="preserve">Item comprável que toca melodia suave na home.</t>
  </si>
  <si>
    <t xml:space="preserve">B-116</t>
  </si>
  <si>
    <t xml:space="preserve">Nome de lobo</t>
  </si>
  <si>
    <t xml:space="preserve">Tocar 5x na lua do tema Espaço: uivo simpático.</t>
  </si>
  <si>
    <t xml:space="preserve">B-117</t>
  </si>
  <si>
    <t xml:space="preserve">Tapa na raposa</t>
  </si>
  <si>
    <t xml:space="preserve">Erro seguido de acerto: raposa leva tapa virtual de tapete e ri.</t>
  </si>
  <si>
    <t xml:space="preserve">B-118</t>
  </si>
  <si>
    <t xml:space="preserve">Vocabulário do dia</t>
  </si>
  <si>
    <t xml:space="preserve">Palavra nova simpática por dia (numeral, dúzia) explicada em 1 frase.</t>
  </si>
  <si>
    <t xml:space="preserve">B-119</t>
  </si>
  <si>
    <t xml:space="preserve">Sorvete derretendo</t>
  </si>
  <si>
    <t xml:space="preserve">Inatividade de 2 minutos na home: casquinha derrete devagar (arte).</t>
  </si>
  <si>
    <t xml:space="preserve">B-120</t>
  </si>
  <si>
    <t xml:space="preserve">Sussurro do mascote</t>
  </si>
  <si>
    <t xml:space="preserve">Raramente a raposa sussurra eu gosto de você (afeto).</t>
  </si>
  <si>
    <t xml:space="preserve">B-121</t>
  </si>
  <si>
    <t xml:space="preserve">Exportar configurações</t>
  </si>
  <si>
    <t xml:space="preserve">Salvar apenas preferências em arquivo pequeno para compartilhar entre máquinas.</t>
  </si>
  <si>
    <t xml:space="preserve">B-122</t>
  </si>
  <si>
    <t xml:space="preserve">Reset seletivo</t>
  </si>
  <si>
    <t xml:space="preserve">Reiniciar só conquistas, só loja, só níveis (escolher o que zerar).</t>
  </si>
  <si>
    <t xml:space="preserve">B-123</t>
  </si>
  <si>
    <t xml:space="preserve">Modo de diagnóstico</t>
  </si>
  <si>
    <t xml:space="preserve">Verificar áudio, voz, storage e perf com resultado em um clique (para suporte).</t>
  </si>
  <si>
    <t xml:space="preserve">B-124</t>
  </si>
  <si>
    <t xml:space="preserve">Copiar diagnóstico</t>
  </si>
  <si>
    <t xml:space="preserve">Botão copia resumo técnico (versões, permissões) para colar em pedido de ajuda.</t>
  </si>
  <si>
    <t xml:space="preserve">B-125</t>
  </si>
  <si>
    <t xml:space="preserve">Duracão da celebração</t>
  </si>
  <si>
    <t xml:space="preserve">Slider de intensidade/duração dos confetes (0 a 200%).</t>
  </si>
  <si>
    <t xml:space="preserve">B-126</t>
  </si>
  <si>
    <t xml:space="preserve">Tamanho do histórico</t>
  </si>
  <si>
    <t xml:space="preserve">Escolher quantas rodadas guardam histórico detalhado.</t>
  </si>
  <si>
    <t xml:space="preserve">B-127</t>
  </si>
  <si>
    <t xml:space="preserve">Atalho customizável</t>
  </si>
  <si>
    <t xml:space="preserve">Trocar Ctrl+Shift+U por outra combinação (nas opções, lembrete de como funciona).</t>
  </si>
  <si>
    <t xml:space="preserve">B-128</t>
  </si>
  <si>
    <t xml:space="preserve">Modo professor rápido</t>
  </si>
  <si>
    <t xml:space="preserve">Preset único que configura tudo para sala de aula (sem loja, tempo 25min, calmo).</t>
  </si>
  <si>
    <t xml:space="preserve">B-129</t>
  </si>
  <si>
    <t xml:space="preserve">Preset do fim de semana</t>
  </si>
  <si>
    <t xml:space="preserve">Preset com limites mais generosos aplicáveis com um clique.</t>
  </si>
  <si>
    <t xml:space="preserve">B-130</t>
  </si>
  <si>
    <t xml:space="preserve">Confirmação para sair</t>
  </si>
  <si>
    <t xml:space="preserve">Opção de perguntar antes de fechar a janela do jogo (evita fechar por engano).</t>
  </si>
  <si>
    <t xml:space="preserve">B-131</t>
  </si>
  <si>
    <t xml:space="preserve">Idioma das vozes separado</t>
  </si>
  <si>
    <t xml:space="preserve">Narração em idioma diferente da interface (já desenhado no i18n), expor nas opções.</t>
  </si>
  <si>
    <t xml:space="preserve">B-132</t>
  </si>
  <si>
    <t xml:space="preserve">Velocidade fina</t>
  </si>
  <si>
    <t xml:space="preserve">Slider de velocidade com passos de 0,05.</t>
  </si>
  <si>
    <t xml:space="preserve">B-133</t>
  </si>
  <si>
    <t xml:space="preserve">Barra de tempo: cor única</t>
  </si>
  <si>
    <t xml:space="preserve">Desativar verde/amarelo/vermelho (só cor neutra) para crianças sensíveis.</t>
  </si>
  <si>
    <t xml:space="preserve">B-134</t>
  </si>
  <si>
    <t xml:space="preserve">Iniciar silenciado</t>
  </si>
  <si>
    <t xml:space="preserve">App sempre abre sem som até primeiro toque (ambientação em escolas).</t>
  </si>
  <si>
    <t xml:space="preserve">B-135</t>
  </si>
  <si>
    <t xml:space="preserve">Desligar nova aba daqui</t>
  </si>
  <si>
    <t xml:space="preserve">Atalho nas opções para desligar override de nova aba sem navegar pelas configurações do browser.</t>
  </si>
  <si>
    <t xml:space="preserve">B-136</t>
  </si>
  <si>
    <t xml:space="preserve">Mostrar fps</t>
  </si>
  <si>
    <t xml:space="preserve">Modo dev exibe contador de quadros discreto.</t>
  </si>
  <si>
    <t xml:space="preserve">B-137</t>
  </si>
  <si>
    <t xml:space="preserve">Reordenar modos</t>
  </si>
  <si>
    <t xml:space="preserve">Arrastar cards dos modos na grade para ordem pessoal.</t>
  </si>
  <si>
    <t xml:space="preserve">B-138</t>
  </si>
  <si>
    <t xml:space="preserve">Esconder modos</t>
  </si>
  <si>
    <t xml:space="preserve">Ocultar temporariamente modos não usados (grade mais limpa).</t>
  </si>
  <si>
    <t xml:space="preserve">B-139</t>
  </si>
  <si>
    <t xml:space="preserve">Aviso de atualização</t>
  </si>
  <si>
    <t xml:space="preserve">Ao atualizar a extensão, painel do que mudou (changelog curto local).</t>
  </si>
  <si>
    <t xml:space="preserve">B-140</t>
  </si>
  <si>
    <t xml:space="preserve">Backup com nome</t>
  </si>
  <si>
    <t xml:space="preserve">Nomear exports (bia-semana12.json) direto no diálogo de salvar.</t>
  </si>
  <si>
    <t xml:space="preserve">B-141</t>
  </si>
  <si>
    <t xml:space="preserve">Aparência dos pontos</t>
  </si>
  <si>
    <t xml:space="preserve">Escolher entre ⚡, estrela ou coração como ícone de pontos.</t>
  </si>
  <si>
    <t xml:space="preserve">B-142</t>
  </si>
  <si>
    <t xml:space="preserve">Idade no perfil</t>
  </si>
  <si>
    <t xml:space="preserve">Campo opcional de idade para calibrar padrões (sem sair do dispositivo).</t>
  </si>
  <si>
    <t xml:space="preserve">B-143</t>
  </si>
  <si>
    <t xml:space="preserve">Zona de conforto do timer</t>
  </si>
  <si>
    <t xml:space="preserve">Definir mínimos/máximos de orçamento de tempo manualmente.</t>
  </si>
  <si>
    <t xml:space="preserve">B-144</t>
  </si>
  <si>
    <t xml:space="preserve">Sons só no jogo</t>
  </si>
  <si>
    <t xml:space="preserve">Efeitos só durante rodadas, silêncio na home (opção).</t>
  </si>
  <si>
    <t xml:space="preserve">B-145</t>
  </si>
  <si>
    <t xml:space="preserve">Tela cheia automática</t>
  </si>
  <si>
    <t xml:space="preserve">Entrar direto em fullscreen ao abrir (relembrado por escolha).</t>
  </si>
  <si>
    <t xml:space="preserve">B-146</t>
  </si>
  <si>
    <t xml:space="preserve">Modo mão única para canhotos</t>
  </si>
  <si>
    <t xml:space="preserve">Espelhar topbar para o lado esquerdo.</t>
  </si>
  <si>
    <t xml:space="preserve">B-147</t>
  </si>
  <si>
    <t xml:space="preserve">Escala do mascote</t>
  </si>
  <si>
    <t xml:space="preserve">Raposa maior/menor na home (4 tamanhos).</t>
  </si>
  <si>
    <t xml:space="preserve">B-148</t>
  </si>
  <si>
    <t xml:space="preserve">Ordem de narração</t>
  </si>
  <si>
    <t xml:space="preserve">Visual primeiro ou voz primeiro (sincronizar leitura).</t>
  </si>
  <si>
    <t xml:space="preserve">B-149</t>
  </si>
  <si>
    <t xml:space="preserve">Salvar por modo</t>
  </si>
  <si>
    <t xml:space="preserve">Preferências de dificuldade salvas por modo independentes.</t>
  </si>
  <si>
    <t xml:space="preserve">B-150</t>
  </si>
  <si>
    <t xml:space="preserve">Limpar vozes em cache</t>
  </si>
  <si>
    <t xml:space="preserve">Botão de manutenção para recarregar lista de vozes do sistema.</t>
  </si>
  <si>
    <t xml:space="preserve">B-151</t>
  </si>
  <si>
    <t xml:space="preserve">Duração do balão</t>
  </si>
  <si>
    <t xml:space="preserve">Tempo que o balão de fala fica visível (2-6s).</t>
  </si>
  <si>
    <t xml:space="preserve">B-152</t>
  </si>
  <si>
    <t xml:space="preserve">Modo viajante leve</t>
  </si>
  <si>
    <t xml:space="preserve">Desligar animações de fundo em bateria (detectar notebook sem tomada).</t>
  </si>
  <si>
    <t xml:space="preserve">B-153</t>
  </si>
  <si>
    <t xml:space="preserve">Relógio nas metas</t>
  </si>
  <si>
    <t xml:space="preserve">Mostrar horário de reinício da meta diária.</t>
  </si>
  <si>
    <t xml:space="preserve">B-154</t>
  </si>
  <si>
    <t xml:space="preserve">Bloqueio de desafios</t>
  </si>
  <si>
    <t xml:space="preserve">Desativar chefe e duelo para foco em modos básicos.</t>
  </si>
  <si>
    <t xml:space="preserve">B-155</t>
  </si>
  <si>
    <t xml:space="preserve">Idioma das opções separado</t>
  </si>
  <si>
    <t xml:space="preserve">Área dos responsáveis sempre no idioma do adulto.</t>
  </si>
  <si>
    <t xml:space="preserve">B-156</t>
  </si>
  <si>
    <t xml:space="preserve">Fuzzing dos geradores</t>
  </si>
  <si>
    <t xml:space="preserve">Rodar 100k gerações por modo buscando NaN, negativos e respostas fora do cap.</t>
  </si>
  <si>
    <t xml:space="preserve">B-157</t>
  </si>
  <si>
    <t xml:space="preserve">Teste de acessibilidade automatizado</t>
  </si>
  <si>
    <t xml:space="preserve">Axe-core no CI com alvo de 0 violações sérias.</t>
  </si>
  <si>
    <t xml:space="preserve">B-158</t>
  </si>
  <si>
    <t xml:space="preserve">Playwright E2E dos fluxos</t>
  </si>
  <si>
    <t xml:space="preserve">Onboarding, portão, rodada, loja e opções automatizadas por release.</t>
  </si>
  <si>
    <t xml:space="preserve">B-159</t>
  </si>
  <si>
    <t xml:space="preserve">Teste dos 3 idiomas</t>
  </si>
  <si>
    <t xml:space="preserve">Automatizar navegação completa em pt/en/es comparando textos-chave.</t>
  </si>
  <si>
    <t xml:space="preserve">B-160</t>
  </si>
  <si>
    <t xml:space="preserve">Teste do portão de senha</t>
  </si>
  <si>
    <t xml:space="preserve">Unitários para hash, sal, verificação, bloqueio progressivo e reset.</t>
  </si>
  <si>
    <t xml:space="preserve">B-161</t>
  </si>
  <si>
    <t xml:space="preserve">Lint de CSP</t>
  </si>
  <si>
    <t xml:space="preserve">Script que bloqueia qualquer atributo on* ou script inline em PR.</t>
  </si>
  <si>
    <t xml:space="preserve">B-162</t>
  </si>
  <si>
    <t xml:space="preserve">Auditoria de permissões</t>
  </si>
  <si>
    <t xml:space="preserve">CI falha se manifest pedir permissão nova sem justificativa documentada.</t>
  </si>
  <si>
    <t xml:space="preserve">B-163</t>
  </si>
  <si>
    <t xml:space="preserve">Checklist de release</t>
  </si>
  <si>
    <t xml:space="preserve">Documento passo a passo (build, scan, QA, zip, changelog).</t>
  </si>
  <si>
    <t xml:space="preserve">B-164</t>
  </si>
  <si>
    <t xml:space="preserve">Assinatura de builds</t>
  </si>
  <si>
    <t xml:space="preserve">Hashes sha256 publicados junto aos zips.</t>
  </si>
  <si>
    <t xml:space="preserve">B-165</t>
  </si>
  <si>
    <t xml:space="preserve">Modo dev com cheats</t>
  </si>
  <si>
    <t xml:space="preserve">Adicionar estrelas, desbloquear modos, pular questões (só em dev).</t>
  </si>
  <si>
    <t xml:space="preserve">B-166</t>
  </si>
  <si>
    <t xml:space="preserve">Capturas automáticas da loja</t>
  </si>
  <si>
    <t xml:space="preserve">Script gera as 6 capturas do painel em 1440x900 por release.</t>
  </si>
  <si>
    <t xml:space="preserve">B-167</t>
  </si>
  <si>
    <t xml:space="preserve">Versão no rodapé do jogo</t>
  </si>
  <si>
    <t xml:space="preserve">Mostrar versão discreta no fim da home (diagnóstico fácil).</t>
  </si>
  <si>
    <t xml:space="preserve">B-168</t>
  </si>
  <si>
    <t xml:space="preserve">Teste de migração</t>
  </si>
  <si>
    <t xml:space="preserve">Fixture de estados v1, v2, v2.2, v2.3 validando conversões.</t>
  </si>
  <si>
    <t xml:space="preserve">B-169</t>
  </si>
  <si>
    <t xml:space="preserve">Smoke em navegadores</t>
  </si>
  <si>
    <t xml:space="preserve">Matriz de smoke manual documentada: Chrome, Edge, Firefox, Brave.</t>
  </si>
  <si>
    <t xml:space="preserve">B-170</t>
  </si>
  <si>
    <t xml:space="preserve">Benchmark de boot</t>
  </si>
  <si>
    <t xml:space="preserve">Script mede tempo até interativo por release (regressão alerta).</t>
  </si>
  <si>
    <t xml:space="preserve">B-171</t>
  </si>
  <si>
    <t xml:space="preserve">Cobertura do motor</t>
  </si>
  <si>
    <t xml:space="preserve">Relatório de cobertura dos arquivos engine/ui (meta 80%).</t>
  </si>
  <si>
    <t xml:space="preserve">B-172</t>
  </si>
  <si>
    <t xml:space="preserve">Tradutor com verificação</t>
  </si>
  <si>
    <t xml:space="preserve">Script compara chaves dos 3 idiomas e lista faltantes.</t>
  </si>
  <si>
    <t xml:space="preserve">B-173</t>
  </si>
  <si>
    <t xml:space="preserve">Logs rotativos locais</t>
  </si>
  <si>
    <t xml:space="preserve">Buffer de últimos 200 eventos de erro na memória (para diagnóstico).</t>
  </si>
  <si>
    <t xml:space="preserve">B-174</t>
  </si>
  <si>
    <t xml:space="preserve">Replay de rodada</t>
  </si>
  <si>
    <t xml:space="preserve">Modo dev grava sequência de questões para reproduzir bugs.</t>
  </si>
  <si>
    <t xml:space="preserve">B-175</t>
  </si>
  <si>
    <t xml:space="preserve">Snapshot de estado</t>
  </si>
  <si>
    <t xml:space="preserve">Comando dev imprime cc_state formatado para análise.</t>
  </si>
  <si>
    <t xml:space="preserve">B-176</t>
  </si>
  <si>
    <t xml:space="preserve">Teste de estresse da UI</t>
  </si>
  <si>
    <t xml:space="preserve">Abrir 50 overlays em sequência procurando leaks.</t>
  </si>
  <si>
    <t xml:space="preserve">B-177</t>
  </si>
  <si>
    <t xml:space="preserve">Changelog automatizado</t>
  </si>
  <si>
    <t xml:space="preserve">Gerar changelog a partir das mensagens de commit/convenção.</t>
  </si>
  <si>
    <t xml:space="preserve">B-178</t>
  </si>
  <si>
    <t xml:space="preserve">Zips nomeados com hash</t>
  </si>
  <si>
    <t xml:space="preserve">Nome do zip inclui hash curto do build (rastreabilidade).</t>
  </si>
  <si>
    <t xml:space="preserve">B-179</t>
  </si>
  <si>
    <t xml:space="preserve">Teste de armazenamento cheio</t>
  </si>
  <si>
    <t xml:space="preserve">Simular quota excedida e garantir aviso elegante.</t>
  </si>
  <si>
    <t xml:space="preserve">B-180</t>
  </si>
  <si>
    <t xml:space="preserve">Tela de erro global</t>
  </si>
  <si>
    <t xml:space="preserve">Handler de exceção com mensagem gentil e botão recarregar.</t>
  </si>
  <si>
    <t xml:space="preserve">B-181</t>
  </si>
  <si>
    <t xml:space="preserve">Documentação de contribuição</t>
  </si>
  <si>
    <t xml:space="preserve">CONTRIBUTING.md com ambiente, testes e estilo.</t>
  </si>
  <si>
    <t xml:space="preserve">B-182</t>
  </si>
  <si>
    <t xml:space="preserve">Prettier/ESLint</t>
  </si>
  <si>
    <t xml:space="preserve">Padronizar formatação com regras no repositório.</t>
  </si>
  <si>
    <t xml:space="preserve">B-183</t>
  </si>
  <si>
    <t xml:space="preserve">Testes de teclado</t>
  </si>
  <si>
    <t xml:space="preserve">Automação navegando só com teclado por todas as telas.</t>
  </si>
  <si>
    <t xml:space="preserve">B-184</t>
  </si>
  <si>
    <t xml:space="preserve">Comparação de paletas</t>
  </si>
  <si>
    <t xml:space="preserve">Script valida contraste das cores do tema (AA mínimo).</t>
  </si>
  <si>
    <t xml:space="preserve">B-185</t>
  </si>
  <si>
    <t xml:space="preserve">Fixture de perfis variados</t>
  </si>
  <si>
    <t xml:space="preserve">Dados de teste (4 perfis com progressos diferentes) para QA.</t>
  </si>
  <si>
    <t xml:space="preserve">B-186</t>
  </si>
  <si>
    <t xml:space="preserve">Teste de export/import cruzado</t>
  </si>
  <si>
    <t xml:space="preserve">Exportar no Chrome e importar no Firefox na automação.</t>
  </si>
  <si>
    <t xml:space="preserve">B-187</t>
  </si>
  <si>
    <t xml:space="preserve">Página de status de recursos</t>
  </si>
  <si>
    <t xml:space="preserve">Demo lista recursos por versão com status (verde/amarelo) gerado do código.</t>
  </si>
  <si>
    <t xml:space="preserve">B-188</t>
  </si>
  <si>
    <t xml:space="preserve">Detecção de idioma faltante</t>
  </si>
  <si>
    <t xml:space="preserve">Texto ausente cai em pt e registra aviso no console em dev.</t>
  </si>
  <si>
    <t xml:space="preserve">B-189</t>
  </si>
  <si>
    <t xml:space="preserve">Teste do cronômetro</t>
  </si>
  <si>
    <t xml:space="preserve">Unitários com relógio fake para pausas e timeouts.</t>
  </si>
  <si>
    <t xml:space="preserve">B-190</t>
  </si>
  <si>
    <t xml:space="preserve">Revisão de Copy PT</t>
  </si>
  <si>
    <t xml:space="preserve">Passo editorial completo nas strings (tom, ortografia, consistência).</t>
  </si>
  <si>
    <t xml:space="preserve">B-191</t>
  </si>
  <si>
    <t xml:space="preserve">Modo história ilustrada</t>
  </si>
  <si>
    <t xml:space="preserve">Enredos com cenas desenhadas em CSS (sem imagens raster).</t>
  </si>
  <si>
    <t xml:space="preserve">B-192</t>
  </si>
  <si>
    <t xml:space="preserve">Radio da raposa</t>
  </si>
  <si>
    <t xml:space="preserve">Playlist de melodias curtas calmas para ouvir na home.</t>
  </si>
  <si>
    <t xml:space="preserve">B-193</t>
  </si>
  <si>
    <t xml:space="preserve">Almanaque dos números</t>
  </si>
  <si>
    <t xml:space="preserve">Enciclopédia interativa dos números 1-100 com fatos e desenhos.</t>
  </si>
  <si>
    <t xml:space="preserve">B-194</t>
  </si>
  <si>
    <t xml:space="preserve">Selo de cientista</t>
  </si>
  <si>
    <t xml:space="preserve">Modo experimental onde a criança prevê o resultado antes (estimativa).</t>
  </si>
  <si>
    <t xml:space="preserve">B-195</t>
  </si>
  <si>
    <t xml:space="preserve">Calculadora gentil</t>
  </si>
  <si>
    <t xml:space="preserve">Calculadora simples integrada para conferir contas livremente.</t>
  </si>
  <si>
    <t xml:space="preserve">B-196</t>
  </si>
  <si>
    <t xml:space="preserve">Trena dos bichos</t>
  </si>
  <si>
    <t xml:space="preserve">Medir animais com réguas de patinhas.</t>
  </si>
  <si>
    <t xml:space="preserve">B-197</t>
  </si>
  <si>
    <t xml:space="preserve">Mapa-múndi dos números</t>
  </si>
  <si>
    <t xml:space="preserve">Viagem virtual: 7 países, 7 modos temáticos (contexto cultural).</t>
  </si>
  <si>
    <t xml:space="preserve">B-198</t>
  </si>
  <si>
    <t xml:space="preserve">Orquestra de contas</t>
  </si>
  <si>
    <t xml:space="preserve">Cada resposta correta toca uma nota; sequência de acertos forma melodia.</t>
  </si>
  <si>
    <t xml:space="preserve">B-199</t>
  </si>
  <si>
    <t xml:space="preserve">Livro de receitas</t>
  </si>
  <si>
    <t xml:space="preserve">Receitas com quantidades para dobrar/metade (matemática na cozinha).</t>
  </si>
  <si>
    <t xml:space="preserve">B-200</t>
  </si>
  <si>
    <t xml:space="preserve">Estação meteorológica</t>
  </si>
  <si>
    <t xml:space="preserve">Contar nuvens, somar chuvas, gráfico simples de clima da semana.</t>
  </si>
  <si>
    <t xml:space="preserve">B-201</t>
  </si>
  <si>
    <t xml:space="preserve">Caderno de rabisco</t>
  </si>
  <si>
    <t xml:space="preserve">Lousa livre com carimbo de números para desenhar depois das rodadas.</t>
  </si>
  <si>
    <t xml:space="preserve">B-202</t>
  </si>
  <si>
    <t xml:space="preserve">Karaoke dos números</t>
  </si>
  <si>
    <t xml:space="preserve">Músicas de contagem com letra destacada (1, 2, 3, indiozinhos).</t>
  </si>
  <si>
    <t xml:space="preserve">B-203</t>
  </si>
  <si>
    <t xml:space="preserve">Jardim dos quadrados</t>
  </si>
  <si>
    <t xml:space="preserve">Plantar hortas em grades (2x3, 4x4), multiplicação visual orgânica.</t>
  </si>
  <si>
    <t xml:space="preserve">B-204</t>
  </si>
  <si>
    <t xml:space="preserve">Cofre dos desafios</t>
  </si>
  <si>
    <t xml:space="preserve">Cofrinho decorativo que abre quando a criança completa a meta do dia, guardando um adesivo surpresa.</t>
  </si>
  <si>
    <t xml:space="preserve">B-205</t>
  </si>
  <si>
    <t xml:space="preserve">Loteria de figurinhas amigas</t>
  </si>
  <si>
    <t xml:space="preserve">Trocar figurinhas com perfis da casa sem perder as próprias.</t>
  </si>
  <si>
    <t xml:space="preserve">B-206</t>
  </si>
  <si>
    <t xml:space="preserve">Relógio de sol</t>
  </si>
  <si>
    <t xml:space="preserve">Sombra do gnomo muda com a hora real (arte funcional).</t>
  </si>
  <si>
    <t xml:space="preserve">B-207</t>
  </si>
  <si>
    <t xml:space="preserve">Pilha de blocos</t>
  </si>
  <si>
    <t xml:space="preserve">Torre que cresce com acertos (física simples), derrubar = reinício suave.</t>
  </si>
  <si>
    <t xml:space="preserve">B-208</t>
  </si>
  <si>
    <t xml:space="preserve">Xadrez dos peõezinhos</t>
  </si>
  <si>
    <t xml:space="preserve">Mini-jogo de contar casas do peão (pré-matemática espacial).</t>
  </si>
  <si>
    <t xml:space="preserve">B-209</t>
  </si>
  <si>
    <t xml:space="preserve">Cineminha de sábado</t>
  </si>
  <si>
    <t xml:space="preserve">Desenho curtinho da raposa liberado por constância.</t>
  </si>
  <si>
    <t xml:space="preserve">B-210</t>
  </si>
  <si>
    <t xml:space="preserve">Fotógrafo de números</t>
  </si>
  <si>
    <t xml:space="preserve">Câmera (opcional) fotografa objetos e a criança conta quantos aparecem.</t>
  </si>
  <si>
    <t xml:space="preserve">B-211</t>
  </si>
  <si>
    <t xml:space="preserve">Alfabeto matemático</t>
  </si>
  <si>
    <t xml:space="preserve">A de um, B de dois... cartilha cruzada letras-números.</t>
  </si>
  <si>
    <t xml:space="preserve">B-212</t>
  </si>
  <si>
    <t xml:space="preserve">Corrida de sacos</t>
  </si>
  <si>
    <t xml:space="preserve">Corrida com múltiplos: pule de 2 em 2 até 20.</t>
  </si>
  <si>
    <t xml:space="preserve">B-213</t>
  </si>
  <si>
    <t xml:space="preserve">Feira de trocas</t>
  </si>
  <si>
    <t xml:space="preserve">Trocar 2 maçãs por 1 laranja (razões simples).</t>
  </si>
  <si>
    <t xml:space="preserve">B-214</t>
  </si>
  <si>
    <t xml:space="preserve">Relatório de sonho</t>
  </si>
  <si>
    <t xml:space="preserve">Criança diz o que quer aprender; raposa cria plano visível.</t>
  </si>
  <si>
    <t xml:space="preserve">B-215</t>
  </si>
  <si>
    <t xml:space="preserve">Cartas de bênção</t>
  </si>
  <si>
    <t xml:space="preserve">Responsáveis gravam áudio de boa noite que toca ao fechar (opcional).</t>
  </si>
  <si>
    <t xml:space="preserve">B-216</t>
  </si>
  <si>
    <t xml:space="preserve">Constelação das conquistas</t>
  </si>
  <si>
    <t xml:space="preserve">Conquistas desenham constelações no céu do tema Espaço.</t>
  </si>
  <si>
    <t xml:space="preserve">B-217</t>
  </si>
  <si>
    <t xml:space="preserve">Semáforo do tempo</t>
  </si>
  <si>
    <t xml:space="preserve">Luz verde/amarela/vermelha do tempo de sessão (clara e visual).</t>
  </si>
  <si>
    <t xml:space="preserve">B-218</t>
  </si>
  <si>
    <t xml:space="preserve">Assistente de divisão de pizza</t>
  </si>
  <si>
    <t xml:space="preserve">Divisor interativo para jantares reais da família.</t>
  </si>
  <si>
    <t xml:space="preserve">B-219</t>
  </si>
  <si>
    <t xml:space="preserve">Bilhete de loteria dos 100</t>
  </si>
  <si>
    <t xml:space="preserve">Raspadinha virtual do quadro de 100 (descobrir padrões).</t>
  </si>
  <si>
    <t xml:space="preserve">B-220</t>
  </si>
  <si>
    <t xml:space="preserve">Expedição do fundo do mar</t>
  </si>
  <si>
    <t xml:space="preserve">Coleção de criaturas desbloqueada por contagens totais.</t>
  </si>
  <si>
    <t xml:space="preserve">B-221</t>
  </si>
  <si>
    <t xml:space="preserve">Delegacia de números perdidos</t>
  </si>
  <si>
    <t xml:space="preserve">Achar números faltantes em cenas (conecta com modo Faltante).</t>
  </si>
  <si>
    <t xml:space="preserve">B-222</t>
  </si>
  <si>
    <t xml:space="preserve">Cinema mudo com música</t>
  </si>
  <si>
    <t xml:space="preserve">Rodadas com trilha sonora ambiente (sem voz) opcional.</t>
  </si>
  <si>
    <t xml:space="preserve">B-223</t>
  </si>
  <si>
    <t xml:space="preserve">Padaria das frações</t>
  </si>
  <si>
    <t xml:space="preserve">Cortar pães em partes iguais para clientes.</t>
  </si>
  <si>
    <t xml:space="preserve">B-224</t>
  </si>
  <si>
    <t xml:space="preserve">Estação de trem dos minutos</t>
  </si>
  <si>
    <t xml:space="preserve">Relógio de minutos com trem atrasado (noções de tempo).</t>
  </si>
  <si>
    <t xml:space="preserve">B-225</t>
  </si>
  <si>
    <t xml:space="preserve">Campeonato de pipas</t>
  </si>
  <si>
    <t xml:space="preserve">Pipa sobe com acertos, vento da tabuada.</t>
  </si>
  <si>
    <t xml:space="preserve">B-226</t>
  </si>
  <si>
    <t xml:space="preserve">Mercado do vizinho</t>
  </si>
  <si>
    <t xml:space="preserve">Cena de troco com vizinhos personagens recorrentes.</t>
  </si>
  <si>
    <t xml:space="preserve">B-227</t>
  </si>
  <si>
    <t xml:space="preserve">Peso dos dinossauros</t>
  </si>
  <si>
    <t xml:space="preserve">Comparar pesos em dinossauros (medidas grandes divertidas).</t>
  </si>
  <si>
    <t xml:space="preserve">B-228</t>
  </si>
  <si>
    <t xml:space="preserve">Telescopinho</t>
  </si>
  <si>
    <t xml:space="preserve">Achar números escondidos no céu com telescópio arrastável.</t>
  </si>
  <si>
    <t xml:space="preserve">B-229</t>
  </si>
  <si>
    <t xml:space="preserve">Fazendinha de somas</t>
  </si>
  <si>
    <t xml:space="preserve">Colher e somar caixas de legumes.</t>
  </si>
  <si>
    <t xml:space="preserve">B-230</t>
  </si>
  <si>
    <t xml:space="preserve">Elevador dos andares</t>
  </si>
  <si>
    <t xml:space="preserve">Subir andares pressionando o botão certo (números e ordem).</t>
  </si>
  <si>
    <t xml:space="preserve">B-231</t>
  </si>
  <si>
    <t xml:space="preserve">Copa do chapéu</t>
  </si>
  <si>
    <t xml:space="preserve">Sorteio de desafios por chapéu (aleatoriedade narrada).</t>
  </si>
  <si>
    <t xml:space="preserve">B-232</t>
  </si>
  <si>
    <t xml:space="preserve">Bússola do tesouro</t>
  </si>
  <si>
    <t xml:space="preserve">Siga N passos para o leste (contagem espacial).</t>
  </si>
  <si>
    <t xml:space="preserve">B-233</t>
  </si>
  <si>
    <t xml:space="preserve">Coral das vogais e números</t>
  </si>
  <si>
    <t xml:space="preserve">Mistura leve de alfabetização com numerais.</t>
  </si>
  <si>
    <t xml:space="preserve">B-234</t>
  </si>
  <si>
    <t xml:space="preserve">Festa da poupança</t>
  </si>
  <si>
    <t xml:space="preserve">Encher cofrinho para comprar presente à avó (contexto afetivo).</t>
  </si>
  <si>
    <t xml:space="preserve">B-235</t>
  </si>
  <si>
    <t xml:space="preserve">Biblioteca das histórias salvas</t>
  </si>
  <si>
    <t xml:space="preserve">Rever enredos que a criança jogou (histórico narrativo).</t>
  </si>
  <si>
    <t xml:space="preserve">B-236</t>
  </si>
  <si>
    <t xml:space="preserve">Modo silhueta</t>
  </si>
  <si>
    <t xml:space="preserve">Adivinhar quantidade pela sombra do grupo.</t>
  </si>
  <si>
    <t xml:space="preserve">B-237</t>
  </si>
  <si>
    <t xml:space="preserve">Farol dos grandes números</t>
  </si>
  <si>
    <t xml:space="preserve">Introdução poética a milhares (faróis piscando 1000 vezes? não: em blocos).</t>
  </si>
  <si>
    <t xml:space="preserve">B-238</t>
  </si>
  <si>
    <t xml:space="preserve">Jogo do espelho simétrico</t>
  </si>
  <si>
    <t xml:space="preserve">Completar metade simétrica com pontos (geometria inicial).</t>
  </si>
  <si>
    <t xml:space="preserve">B-239</t>
  </si>
  <si>
    <t xml:space="preserve">Correio da raposa</t>
  </si>
  <si>
    <t xml:space="preserve">Enviar cartão desenhado para perfil da casa.</t>
  </si>
  <si>
    <t xml:space="preserve">B-240</t>
  </si>
  <si>
    <t xml:space="preserve">Faz de conta: pizzaria</t>
  </si>
  <si>
    <t xml:space="preserve">Administrar pizza: pedidos, fatias, caixa (síntese de vários modos).</t>
  </si>
  <si>
    <t xml:space="preserve">B-241</t>
  </si>
  <si>
    <t xml:space="preserve">Trilha de bicicleta</t>
  </si>
  <si>
    <t xml:space="preserve">Pedalar (toques ritmados) até o número alvo.</t>
  </si>
  <si>
    <t xml:space="preserve">B-242</t>
  </si>
  <si>
    <t xml:space="preserve">Previsão do tempo das estrelas</t>
  </si>
  <si>
    <t xml:space="preserve">Meteorologia do jogo: amanhã tem chuva de estrelas (surpresa diária).</t>
  </si>
  <si>
    <t xml:space="preserve">B-243</t>
  </si>
  <si>
    <t xml:space="preserve">Ciranda das rodadas</t>
  </si>
  <si>
    <t xml:space="preserve">Roda com crianças virtuais, cada acerto gira a ciranda.</t>
  </si>
  <si>
    <t xml:space="preserve">B-244</t>
  </si>
  <si>
    <t xml:space="preserve">Museu das primeiras vezes</t>
  </si>
  <si>
    <t xml:space="preserve">Galeria de primeiros acertos com data (nostalgia familiar).</t>
  </si>
  <si>
    <t xml:space="preserve">B-245</t>
  </si>
  <si>
    <t xml:space="preserve">Botânica das somas</t>
  </si>
  <si>
    <t xml:space="preserve">Cruzar flores com pétalas somadas (genética lúdica).</t>
  </si>
  <si>
    <t xml:space="preserve">B-246</t>
  </si>
  <si>
    <t xml:space="preserve">Torre do relógio</t>
  </si>
  <si>
    <t xml:space="preserve">Ajustar ponteiros para dar comida ao cão às 15h (rotina).</t>
  </si>
  <si>
    <t xml:space="preserve">B-247</t>
  </si>
  <si>
    <t xml:space="preserve">Correio dos números</t>
  </si>
  <si>
    <t xml:space="preserve">Entregar cartas às casas numeradas certas.</t>
  </si>
  <si>
    <t xml:space="preserve">B-248</t>
  </si>
  <si>
    <t xml:space="preserve">Contando estrelas reais</t>
  </si>
  <si>
    <t xml:space="preserve">Modo noturno: contar constelações simplificadas.</t>
  </si>
  <si>
    <t xml:space="preserve">B-249</t>
  </si>
  <si>
    <t xml:space="preserve">Feitiço dos dobrados</t>
  </si>
  <si>
    <t xml:space="preserve">Varinha que dobra objetos no caldeirão.</t>
  </si>
  <si>
    <t xml:space="preserve">B-250</t>
  </si>
  <si>
    <t xml:space="preserve">Lanchonete das trocas</t>
  </si>
  <si>
    <t xml:space="preserve">Montar lanche com dinheiro exato (síntese econômica).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</si>
</sst>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B85C1E"/>
      <name val="Noto Sans CJK SC"/>
      <family val="0"/>
      <charset val="1"/>
    </font>
    <font>
      <sz val="9"/>
      <color rgb="FF9C8B78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E2F1F"/>
      <name val="Noto Sans CJK SC"/>
      <family val="0"/>
      <charset val="1"/>
    </font>
    <font>
      <sz val="11"/>
      <color rgb="FFB85C1E"/>
      <name val="Noto Sans CJK SC"/>
      <family val="0"/>
      <charset val="1"/>
    </font>
    <font>
      <sz val="10"/>
      <color rgb="FF9C8B78"/>
      <name val="Noto Sans CJK SC"/>
      <family val="0"/>
      <charset val="1"/>
    </font>
    <font>
      <b val="true"/>
      <sz val="11"/>
      <color rgb="FF3E2F1F"/>
      <name val="Noto Sans CJK S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85C1E"/>
        <bgColor rgb="FFFF6600"/>
      </patternFill>
    </fill>
    <fill>
      <patternFill patternType="solid">
        <fgColor rgb="FFFFFFFF"/>
        <bgColor rgb="FFF7F2EC"/>
      </patternFill>
    </fill>
    <fill>
      <patternFill patternType="solid">
        <fgColor rgb="FFF7F2EC"/>
        <bgColor rgb="FFF5E6D5"/>
      </patternFill>
    </fill>
    <fill>
      <patternFill patternType="solid">
        <fgColor rgb="FFF5E6D5"/>
        <bgColor rgb="FFEAE0D5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AE0D5"/>
      </bottom>
      <diagonal/>
    </border>
    <border diagonalUp="false" diagonalDown="false">
      <left/>
      <right/>
      <top style="medium">
        <color rgb="FFEAE0D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B85C1E"/>
          <bgColor rgb="FF000000"/>
        </patternFill>
      </fill>
    </dxf>
    <dxf>
      <fill>
        <patternFill patternType="solid">
          <fgColor rgb="FFF7F2E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8B78"/>
          <bgColor rgb="FF000000"/>
        </patternFill>
      </fill>
    </dxf>
    <dxf>
      <fill>
        <patternFill patternType="solid">
          <fgColor rgb="FF3E2F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2EC"/>
      <rgbColor rgb="FFCCFFFF"/>
      <rgbColor rgb="FF660066"/>
      <rgbColor rgb="FFFF8080"/>
      <rgbColor rgb="FF0066CC"/>
      <rgbColor rgb="FFEAE0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6D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C8B78"/>
      <rgbColor rgb="FF003366"/>
      <rgbColor rgb="FF339966"/>
      <rgbColor rgb="FF003300"/>
      <rgbColor rgb="FF333300"/>
      <rgbColor rgb="FFB85C1E"/>
      <rgbColor rgb="FF993366"/>
      <rgbColor rgb="FF333399"/>
      <rgbColor rgb="FF3E2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2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</row>
    <row r="3" customFormat="false" ht="7.5" hidden="false" customHeight="true" outlineLevel="0" collapsed="false"/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10" customFormat="false" ht="27.75" hidden="false" customHeight="true" outlineLevel="0" collapsed="false">
      <c r="B10" s="3" t="s">
        <v>6</v>
      </c>
      <c r="C10" s="3" t="s">
        <v>7</v>
      </c>
      <c r="D10" s="3" t="s">
        <v>8</v>
      </c>
      <c r="E10" s="3" t="s">
        <v>9</v>
      </c>
    </row>
    <row r="11" customFormat="false" ht="21.75" hidden="false" customHeight="true" outlineLevel="0" collapsed="false">
      <c r="B11" s="4" t="s">
        <v>10</v>
      </c>
      <c r="C11" s="5" t="n">
        <f aca="false">COUNTA('Alto impacto (250)'!B5:B254)</f>
        <v>250</v>
      </c>
      <c r="D11" s="5" t="n">
        <v>9</v>
      </c>
      <c r="E11" s="4" t="s">
        <v>11</v>
      </c>
    </row>
    <row r="12" customFormat="false" ht="21.75" hidden="false" customHeight="true" outlineLevel="0" collapsed="false">
      <c r="B12" s="6" t="s">
        <v>12</v>
      </c>
      <c r="C12" s="7" t="n">
        <f aca="false">COUNTA('Médio impacto (250)'!B5:B254)</f>
        <v>250</v>
      </c>
      <c r="D12" s="7" t="n">
        <v>8</v>
      </c>
      <c r="E12" s="6" t="s">
        <v>13</v>
      </c>
    </row>
    <row r="13" customFormat="false" ht="21.75" hidden="false" customHeight="true" outlineLevel="0" collapsed="false">
      <c r="B13" s="4" t="s">
        <v>14</v>
      </c>
      <c r="C13" s="5" t="n">
        <f aca="false">COUNTA('Baixo impacto (250)'!B5:B254)</f>
        <v>250</v>
      </c>
      <c r="D13" s="5" t="n">
        <v>6</v>
      </c>
      <c r="E13" s="4" t="s">
        <v>15</v>
      </c>
    </row>
    <row r="14" customFormat="false" ht="25.5" hidden="false" customHeight="true" outlineLevel="0" collapsed="false">
      <c r="B14" s="8" t="s">
        <v>16</v>
      </c>
      <c r="C14" s="9" t="n">
        <f aca="false">SUM(C11:C13)</f>
        <v>750</v>
      </c>
      <c r="D14" s="9" t="n">
        <v>23</v>
      </c>
      <c r="E14" s="8"/>
    </row>
    <row r="16" customFormat="false" ht="15" hidden="false" customHeight="false" outlineLevel="0" collapsed="false">
      <c r="B16" s="10" t="s">
        <v>17</v>
      </c>
    </row>
    <row r="17" customFormat="false" ht="27.75" hidden="false" customHeight="true" outlineLevel="0" collapsed="false">
      <c r="B17" s="3" t="s">
        <v>18</v>
      </c>
      <c r="C17" s="3" t="s">
        <v>10</v>
      </c>
      <c r="D17" s="3" t="s">
        <v>12</v>
      </c>
      <c r="E17" s="3" t="s">
        <v>14</v>
      </c>
    </row>
    <row r="18" customFormat="false" ht="21.75" hidden="false" customHeight="true" outlineLevel="0" collapsed="false">
      <c r="B18" s="4" t="s">
        <v>19</v>
      </c>
      <c r="C18" s="5" t="n">
        <f aca="false">COUNTIF('Alto impacto (250)'!F5:F254,"Pequeno")</f>
        <v>159</v>
      </c>
      <c r="D18" s="5" t="n">
        <f aca="false">COUNTIF('Médio impacto (250)'!F5:F254,"Pequeno")</f>
        <v>174</v>
      </c>
      <c r="E18" s="5" t="n">
        <f aca="false">COUNTIF('Baixo impacto (250)'!F5:F254,"Pequeno")</f>
        <v>193</v>
      </c>
    </row>
    <row r="19" customFormat="false" ht="21.75" hidden="false" customHeight="true" outlineLevel="0" collapsed="false">
      <c r="B19" s="6" t="s">
        <v>12</v>
      </c>
      <c r="C19" s="7" t="n">
        <f aca="false">COUNTIF('Alto impacto (250)'!F5:F254,"Médio")</f>
        <v>73</v>
      </c>
      <c r="D19" s="7" t="n">
        <f aca="false">COUNTIF('Médio impacto (250)'!F5:F254,"Médio")</f>
        <v>68</v>
      </c>
      <c r="E19" s="7" t="n">
        <f aca="false">COUNTIF('Baixo impacto (250)'!F5:F254,"Médio")</f>
        <v>48</v>
      </c>
    </row>
    <row r="20" customFormat="false" ht="21.75" hidden="false" customHeight="true" outlineLevel="0" collapsed="false">
      <c r="B20" s="4" t="s">
        <v>20</v>
      </c>
      <c r="C20" s="5" t="n">
        <f aca="false">COUNTIF('Alto impacto (250)'!F5:F254,"Grande")</f>
        <v>18</v>
      </c>
      <c r="D20" s="5" t="n">
        <f aca="false">COUNTIF('Médio impacto (250)'!F5:F254,"Grande")</f>
        <v>8</v>
      </c>
      <c r="E20" s="5" t="n">
        <f aca="false">COUNTIF('Baixo impacto (250)'!F5:F254,"Grande")</f>
        <v>9</v>
      </c>
    </row>
    <row r="21" customFormat="false" ht="25.5" hidden="false" customHeight="true" outlineLevel="0" collapsed="false">
      <c r="B21" s="8" t="s">
        <v>16</v>
      </c>
      <c r="C21" s="9" t="n">
        <f aca="false">SUM(C18:C20)</f>
        <v>250</v>
      </c>
      <c r="D21" s="9" t="n">
        <f aca="false">SUM(D18:D20)</f>
        <v>250</v>
      </c>
      <c r="E21" s="9" t="n">
        <f aca="false">SUM(E18:E20)</f>
        <v>250</v>
      </c>
    </row>
    <row r="23" customFormat="false" ht="15" hidden="false" customHeight="false" outlineLevel="0" collapsed="false">
      <c r="B23" s="10" t="s">
        <v>21</v>
      </c>
    </row>
    <row r="24" customFormat="false" ht="27.75" hidden="false" customHeight="true" outlineLevel="0" collapsed="false">
      <c r="B24" s="3" t="s">
        <v>6</v>
      </c>
      <c r="C24" s="3" t="s">
        <v>22</v>
      </c>
      <c r="D24" s="3" t="s">
        <v>7</v>
      </c>
    </row>
    <row r="25" customFormat="false" ht="21.75" hidden="false" customHeight="true" outlineLevel="0" collapsed="false">
      <c r="B25" s="4" t="s">
        <v>10</v>
      </c>
      <c r="C25" s="4" t="s">
        <v>23</v>
      </c>
      <c r="D25" s="5" t="n">
        <f aca="false">COUNTIF('Alto impacto (250)'!C5:C254,"Acessibilidade e Inclusão")</f>
        <v>30</v>
      </c>
    </row>
    <row r="26" customFormat="false" ht="21.75" hidden="false" customHeight="true" outlineLevel="0" collapsed="false">
      <c r="B26" s="6" t="s">
        <v>10</v>
      </c>
      <c r="C26" s="6" t="s">
        <v>24</v>
      </c>
      <c r="D26" s="7" t="n">
        <f aca="false">COUNTIF('Alto impacto (250)'!C5:C254,"Adaptatividade e IA")</f>
        <v>30</v>
      </c>
    </row>
    <row r="27" customFormat="false" ht="21.75" hidden="false" customHeight="true" outlineLevel="0" collapsed="false">
      <c r="B27" s="4" t="s">
        <v>10</v>
      </c>
      <c r="C27" s="4" t="s">
        <v>25</v>
      </c>
      <c r="D27" s="5" t="n">
        <f aca="false">COUNTIF('Alto impacto (250)'!C5:C254,"Controle Parental e Família")</f>
        <v>25</v>
      </c>
    </row>
    <row r="28" customFormat="false" ht="21.75" hidden="false" customHeight="true" outlineLevel="0" collapsed="false">
      <c r="B28" s="6" t="s">
        <v>10</v>
      </c>
      <c r="C28" s="6" t="s">
        <v>26</v>
      </c>
      <c r="D28" s="7" t="n">
        <f aca="false">COUNTIF('Alto impacto (250)'!C5:C254,"Gamificação e Motivação")</f>
        <v>30</v>
      </c>
    </row>
    <row r="29" customFormat="false" ht="21.75" hidden="false" customHeight="true" outlineLevel="0" collapsed="false">
      <c r="B29" s="4" t="s">
        <v>10</v>
      </c>
      <c r="C29" s="4" t="s">
        <v>27</v>
      </c>
      <c r="D29" s="5" t="n">
        <f aca="false">COUNTIF('Alto impacto (250)'!C5:C254,"Pedagogia e Currículo")</f>
        <v>35</v>
      </c>
    </row>
    <row r="30" customFormat="false" ht="21.75" hidden="false" customHeight="true" outlineLevel="0" collapsed="false">
      <c r="B30" s="6" t="s">
        <v>10</v>
      </c>
      <c r="C30" s="6" t="s">
        <v>28</v>
      </c>
      <c r="D30" s="7" t="n">
        <f aca="false">COUNTIF('Alto impacto (250)'!C5:C254,"Plataforma e Arquitetura")</f>
        <v>25</v>
      </c>
    </row>
    <row r="31" customFormat="false" ht="21.75" hidden="false" customHeight="true" outlineLevel="0" collapsed="false">
      <c r="B31" s="4" t="s">
        <v>10</v>
      </c>
      <c r="C31" s="4" t="s">
        <v>29</v>
      </c>
      <c r="D31" s="5" t="n">
        <f aca="false">COUNTIF('Alto impacto (250)'!C5:C254,"Relatórios e Acompanhamento")</f>
        <v>25</v>
      </c>
    </row>
    <row r="32" customFormat="false" ht="21.75" hidden="false" customHeight="true" outlineLevel="0" collapsed="false">
      <c r="B32" s="6" t="s">
        <v>10</v>
      </c>
      <c r="C32" s="6" t="s">
        <v>30</v>
      </c>
      <c r="D32" s="7" t="n">
        <f aca="false">COUNTIF('Alto impacto (250)'!C5:C254,"Segurança e Privacidade")</f>
        <v>25</v>
      </c>
    </row>
    <row r="33" customFormat="false" ht="21.75" hidden="false" customHeight="true" outlineLevel="0" collapsed="false">
      <c r="B33" s="4" t="s">
        <v>10</v>
      </c>
      <c r="C33" s="4" t="s">
        <v>31</v>
      </c>
      <c r="D33" s="5" t="n">
        <f aca="false">COUNTIF('Alto impacto (250)'!C5:C254,"Voz, Som e Narração")</f>
        <v>25</v>
      </c>
    </row>
    <row r="34" customFormat="false" ht="21.75" hidden="false" customHeight="true" outlineLevel="0" collapsed="false">
      <c r="B34" s="6" t="s">
        <v>12</v>
      </c>
      <c r="C34" s="6" t="s">
        <v>32</v>
      </c>
      <c r="D34" s="7" t="n">
        <f aca="false">COUNTIF('Médio impacto (250)'!C5:C254,"Desempenho e Estabilidade")</f>
        <v>25</v>
      </c>
    </row>
    <row r="35" customFormat="false" ht="21.75" hidden="false" customHeight="true" outlineLevel="0" collapsed="false">
      <c r="B35" s="4" t="s">
        <v>12</v>
      </c>
      <c r="C35" s="4" t="s">
        <v>33</v>
      </c>
      <c r="D35" s="5" t="n">
        <f aca="false">COUNTIF('Médio impacto (250)'!C5:C254,"Interface e Navegação")</f>
        <v>40</v>
      </c>
    </row>
    <row r="36" customFormat="false" ht="21.75" hidden="false" customHeight="true" outlineLevel="0" collapsed="false">
      <c r="B36" s="6" t="s">
        <v>12</v>
      </c>
      <c r="C36" s="6" t="s">
        <v>34</v>
      </c>
      <c r="D36" s="7" t="n">
        <f aca="false">COUNTIF('Médio impacto (250)'!C5:C254,"Internacionalização")</f>
        <v>35</v>
      </c>
    </row>
    <row r="37" customFormat="false" ht="21.75" hidden="false" customHeight="true" outlineLevel="0" collapsed="false">
      <c r="B37" s="4" t="s">
        <v>12</v>
      </c>
      <c r="C37" s="4" t="s">
        <v>35</v>
      </c>
      <c r="D37" s="5" t="n">
        <f aca="false">COUNTIF('Médio impacto (250)'!C5:C254,"Modos de Jogo e Conteúdo")</f>
        <v>40</v>
      </c>
    </row>
    <row r="38" customFormat="false" ht="21.75" hidden="false" customHeight="true" outlineLevel="0" collapsed="false">
      <c r="B38" s="6" t="s">
        <v>12</v>
      </c>
      <c r="C38" s="6" t="s">
        <v>36</v>
      </c>
      <c r="D38" s="7" t="n">
        <f aca="false">COUNTIF('Médio impacto (250)'!C5:C254,"Offline, Sincronização e Dados")</f>
        <v>25</v>
      </c>
    </row>
    <row r="39" customFormat="false" ht="21.75" hidden="false" customHeight="true" outlineLevel="0" collapsed="false">
      <c r="B39" s="4" t="s">
        <v>12</v>
      </c>
      <c r="C39" s="4" t="s">
        <v>37</v>
      </c>
      <c r="D39" s="5" t="n">
        <f aca="false">COUNTIF('Médio impacto (250)'!C5:C254,"Onboarding e Ajuda")</f>
        <v>25</v>
      </c>
    </row>
    <row r="40" customFormat="false" ht="21.75" hidden="false" customHeight="true" outlineLevel="0" collapsed="false">
      <c r="B40" s="6" t="s">
        <v>12</v>
      </c>
      <c r="C40" s="6" t="s">
        <v>38</v>
      </c>
      <c r="D40" s="7" t="n">
        <f aca="false">COUNTIF('Médio impacto (250)'!C5:C254,"Progressão, Recompensas e Loja")</f>
        <v>35</v>
      </c>
    </row>
    <row r="41" customFormat="false" ht="21.75" hidden="false" customHeight="true" outlineLevel="0" collapsed="false">
      <c r="B41" s="4" t="s">
        <v>12</v>
      </c>
      <c r="C41" s="4" t="s">
        <v>39</v>
      </c>
      <c r="D41" s="5" t="n">
        <f aca="false">COUNTIF('Médio impacto (250)'!C5:C254,"Social Seguro")</f>
        <v>25</v>
      </c>
    </row>
    <row r="42" customFormat="false" ht="21.75" hidden="false" customHeight="true" outlineLevel="0" collapsed="false">
      <c r="B42" s="6" t="s">
        <v>14</v>
      </c>
      <c r="C42" s="6" t="s">
        <v>40</v>
      </c>
      <c r="D42" s="7" t="n">
        <f aca="false">COUNTIF('Baixo impacto (250)'!C5:C254,"Configurações Avançadas")</f>
        <v>35</v>
      </c>
    </row>
    <row r="43" customFormat="false" ht="21.75" hidden="false" customHeight="true" outlineLevel="0" collapsed="false">
      <c r="B43" s="4" t="s">
        <v>14</v>
      </c>
      <c r="C43" s="4" t="s">
        <v>41</v>
      </c>
      <c r="D43" s="5" t="n">
        <f aca="false">COUNTIF('Baixo impacto (250)'!C5:C254,"Diversão e Easter Eggs")</f>
        <v>35</v>
      </c>
    </row>
    <row r="44" customFormat="false" ht="21.75" hidden="false" customHeight="true" outlineLevel="0" collapsed="false">
      <c r="B44" s="6" t="s">
        <v>14</v>
      </c>
      <c r="C44" s="6" t="s">
        <v>42</v>
      </c>
      <c r="D44" s="7" t="n">
        <f aca="false">COUNTIF('Baixo impacto (250)'!C5:C254,"Ideias Criativas")</f>
        <v>60</v>
      </c>
    </row>
    <row r="45" customFormat="false" ht="21.75" hidden="false" customHeight="true" outlineLevel="0" collapsed="false">
      <c r="B45" s="4" t="s">
        <v>14</v>
      </c>
      <c r="C45" s="4" t="s">
        <v>43</v>
      </c>
      <c r="D45" s="5" t="n">
        <f aca="false">COUNTIF('Baixo impacto (250)'!C5:C254,"Polimento Visual")</f>
        <v>45</v>
      </c>
    </row>
    <row r="46" customFormat="false" ht="21.75" hidden="false" customHeight="true" outlineLevel="0" collapsed="false">
      <c r="B46" s="6" t="s">
        <v>14</v>
      </c>
      <c r="C46" s="6" t="s">
        <v>44</v>
      </c>
      <c r="D46" s="7" t="n">
        <f aca="false">COUNTIF('Baixo impacto (250)'!C5:C254,"Qualidade e Ferramentas")</f>
        <v>35</v>
      </c>
    </row>
    <row r="47" customFormat="false" ht="21.75" hidden="false" customHeight="true" outlineLevel="0" collapsed="false">
      <c r="B47" s="4" t="s">
        <v>14</v>
      </c>
      <c r="C47" s="4" t="s">
        <v>45</v>
      </c>
      <c r="D47" s="5" t="n">
        <f aca="false">COUNTIF('Baixo impacto (250)'!C5:C254,"Temas e Cosméticos")</f>
        <v>40</v>
      </c>
    </row>
    <row r="49" customFormat="false" ht="15" hidden="false" customHeight="false" outlineLevel="0" collapsed="false">
      <c r="B49" s="2" t="s">
        <v>46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62"/>
    <col collapsed="false" customWidth="true" hidden="false" outlineLevel="0" max="6" min="6" style="0" width="11"/>
    <col collapsed="false" customWidth="true" hidden="false" outlineLevel="0" max="7" min="7" style="0" width="1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47</v>
      </c>
      <c r="C2" s="1"/>
      <c r="D2" s="1"/>
      <c r="E2" s="1"/>
      <c r="F2" s="1"/>
      <c r="G2" s="1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48</v>
      </c>
      <c r="C4" s="3" t="s">
        <v>22</v>
      </c>
      <c r="D4" s="3" t="s">
        <v>49</v>
      </c>
      <c r="E4" s="3" t="s">
        <v>50</v>
      </c>
      <c r="F4" s="3" t="s">
        <v>18</v>
      </c>
      <c r="G4" s="3" t="s">
        <v>51</v>
      </c>
    </row>
    <row r="5" customFormat="false" ht="21.75" hidden="false" customHeight="true" outlineLevel="0" collapsed="false">
      <c r="B5" s="11" t="s">
        <v>52</v>
      </c>
      <c r="C5" s="12" t="s">
        <v>27</v>
      </c>
      <c r="D5" s="13" t="s">
        <v>53</v>
      </c>
      <c r="E5" s="14" t="s">
        <v>54</v>
      </c>
      <c r="F5" s="5" t="s">
        <v>12</v>
      </c>
      <c r="G5" s="5" t="s">
        <v>55</v>
      </c>
    </row>
    <row r="6" customFormat="false" ht="21.75" hidden="false" customHeight="true" outlineLevel="0" collapsed="false">
      <c r="B6" s="15" t="s">
        <v>56</v>
      </c>
      <c r="C6" s="16" t="s">
        <v>27</v>
      </c>
      <c r="D6" s="17" t="s">
        <v>57</v>
      </c>
      <c r="E6" s="18" t="s">
        <v>58</v>
      </c>
      <c r="F6" s="7" t="s">
        <v>20</v>
      </c>
      <c r="G6" s="7" t="s">
        <v>55</v>
      </c>
    </row>
    <row r="7" customFormat="false" ht="21.75" hidden="false" customHeight="true" outlineLevel="0" collapsed="false">
      <c r="B7" s="11" t="s">
        <v>59</v>
      </c>
      <c r="C7" s="12" t="s">
        <v>27</v>
      </c>
      <c r="D7" s="13" t="s">
        <v>60</v>
      </c>
      <c r="E7" s="14" t="s">
        <v>61</v>
      </c>
      <c r="F7" s="5" t="s">
        <v>12</v>
      </c>
      <c r="G7" s="5" t="s">
        <v>62</v>
      </c>
    </row>
    <row r="8" customFormat="false" ht="21.75" hidden="false" customHeight="true" outlineLevel="0" collapsed="false">
      <c r="B8" s="15" t="s">
        <v>63</v>
      </c>
      <c r="C8" s="16" t="s">
        <v>27</v>
      </c>
      <c r="D8" s="17" t="s">
        <v>64</v>
      </c>
      <c r="E8" s="18" t="s">
        <v>65</v>
      </c>
      <c r="F8" s="7" t="s">
        <v>19</v>
      </c>
      <c r="G8" s="7" t="s">
        <v>55</v>
      </c>
    </row>
    <row r="9" customFormat="false" ht="21.75" hidden="false" customHeight="true" outlineLevel="0" collapsed="false">
      <c r="B9" s="11" t="s">
        <v>66</v>
      </c>
      <c r="C9" s="12" t="s">
        <v>27</v>
      </c>
      <c r="D9" s="13" t="s">
        <v>67</v>
      </c>
      <c r="E9" s="14" t="s">
        <v>68</v>
      </c>
      <c r="F9" s="5" t="s">
        <v>19</v>
      </c>
      <c r="G9" s="5" t="s">
        <v>55</v>
      </c>
    </row>
    <row r="10" customFormat="false" ht="21.75" hidden="false" customHeight="true" outlineLevel="0" collapsed="false">
      <c r="B10" s="15" t="s">
        <v>69</v>
      </c>
      <c r="C10" s="16" t="s">
        <v>27</v>
      </c>
      <c r="D10" s="17" t="s">
        <v>70</v>
      </c>
      <c r="E10" s="18" t="s">
        <v>71</v>
      </c>
      <c r="F10" s="7" t="s">
        <v>20</v>
      </c>
      <c r="G10" s="7" t="s">
        <v>62</v>
      </c>
    </row>
    <row r="11" customFormat="false" ht="21.75" hidden="false" customHeight="true" outlineLevel="0" collapsed="false">
      <c r="B11" s="11" t="s">
        <v>72</v>
      </c>
      <c r="C11" s="12" t="s">
        <v>27</v>
      </c>
      <c r="D11" s="13" t="s">
        <v>73</v>
      </c>
      <c r="E11" s="14" t="s">
        <v>74</v>
      </c>
      <c r="F11" s="5" t="s">
        <v>12</v>
      </c>
      <c r="G11" s="5" t="s">
        <v>55</v>
      </c>
    </row>
    <row r="12" customFormat="false" ht="21.75" hidden="false" customHeight="true" outlineLevel="0" collapsed="false">
      <c r="B12" s="15" t="s">
        <v>75</v>
      </c>
      <c r="C12" s="16" t="s">
        <v>27</v>
      </c>
      <c r="D12" s="17" t="s">
        <v>76</v>
      </c>
      <c r="E12" s="18" t="s">
        <v>77</v>
      </c>
      <c r="F12" s="7" t="s">
        <v>12</v>
      </c>
      <c r="G12" s="7" t="s">
        <v>62</v>
      </c>
    </row>
    <row r="13" customFormat="false" ht="21.75" hidden="false" customHeight="true" outlineLevel="0" collapsed="false">
      <c r="B13" s="11" t="s">
        <v>78</v>
      </c>
      <c r="C13" s="12" t="s">
        <v>27</v>
      </c>
      <c r="D13" s="13" t="s">
        <v>79</v>
      </c>
      <c r="E13" s="14" t="s">
        <v>80</v>
      </c>
      <c r="F13" s="5" t="s">
        <v>12</v>
      </c>
      <c r="G13" s="5" t="s">
        <v>55</v>
      </c>
    </row>
    <row r="14" customFormat="false" ht="21.75" hidden="false" customHeight="true" outlineLevel="0" collapsed="false">
      <c r="B14" s="15" t="s">
        <v>81</v>
      </c>
      <c r="C14" s="16" t="s">
        <v>27</v>
      </c>
      <c r="D14" s="17" t="s">
        <v>82</v>
      </c>
      <c r="E14" s="18" t="s">
        <v>83</v>
      </c>
      <c r="F14" s="7" t="s">
        <v>19</v>
      </c>
      <c r="G14" s="7" t="s">
        <v>55</v>
      </c>
    </row>
    <row r="15" customFormat="false" ht="21.75" hidden="false" customHeight="true" outlineLevel="0" collapsed="false">
      <c r="B15" s="11" t="s">
        <v>84</v>
      </c>
      <c r="C15" s="12" t="s">
        <v>27</v>
      </c>
      <c r="D15" s="13" t="s">
        <v>85</v>
      </c>
      <c r="E15" s="14" t="s">
        <v>86</v>
      </c>
      <c r="F15" s="5" t="s">
        <v>19</v>
      </c>
      <c r="G15" s="5" t="s">
        <v>55</v>
      </c>
    </row>
    <row r="16" customFormat="false" ht="21.75" hidden="false" customHeight="true" outlineLevel="0" collapsed="false">
      <c r="B16" s="15" t="s">
        <v>87</v>
      </c>
      <c r="C16" s="16" t="s">
        <v>27</v>
      </c>
      <c r="D16" s="17" t="s">
        <v>88</v>
      </c>
      <c r="E16" s="18" t="s">
        <v>89</v>
      </c>
      <c r="F16" s="7" t="s">
        <v>12</v>
      </c>
      <c r="G16" s="7" t="s">
        <v>62</v>
      </c>
    </row>
    <row r="17" customFormat="false" ht="21.75" hidden="false" customHeight="true" outlineLevel="0" collapsed="false">
      <c r="B17" s="11" t="s">
        <v>90</v>
      </c>
      <c r="C17" s="12" t="s">
        <v>27</v>
      </c>
      <c r="D17" s="13" t="s">
        <v>91</v>
      </c>
      <c r="E17" s="14" t="s">
        <v>92</v>
      </c>
      <c r="F17" s="5" t="s">
        <v>19</v>
      </c>
      <c r="G17" s="5" t="s">
        <v>55</v>
      </c>
    </row>
    <row r="18" customFormat="false" ht="21.75" hidden="false" customHeight="true" outlineLevel="0" collapsed="false">
      <c r="B18" s="15" t="s">
        <v>93</v>
      </c>
      <c r="C18" s="16" t="s">
        <v>27</v>
      </c>
      <c r="D18" s="17" t="s">
        <v>94</v>
      </c>
      <c r="E18" s="18" t="s">
        <v>95</v>
      </c>
      <c r="F18" s="7" t="s">
        <v>19</v>
      </c>
      <c r="G18" s="7" t="s">
        <v>55</v>
      </c>
    </row>
    <row r="19" customFormat="false" ht="21.75" hidden="false" customHeight="true" outlineLevel="0" collapsed="false">
      <c r="B19" s="11" t="s">
        <v>96</v>
      </c>
      <c r="C19" s="12" t="s">
        <v>27</v>
      </c>
      <c r="D19" s="13" t="s">
        <v>97</v>
      </c>
      <c r="E19" s="14" t="s">
        <v>98</v>
      </c>
      <c r="F19" s="5" t="s">
        <v>20</v>
      </c>
      <c r="G19" s="5" t="s">
        <v>62</v>
      </c>
    </row>
    <row r="20" customFormat="false" ht="21.75" hidden="false" customHeight="true" outlineLevel="0" collapsed="false">
      <c r="B20" s="15" t="s">
        <v>99</v>
      </c>
      <c r="C20" s="16" t="s">
        <v>27</v>
      </c>
      <c r="D20" s="17" t="s">
        <v>100</v>
      </c>
      <c r="E20" s="18" t="s">
        <v>101</v>
      </c>
      <c r="F20" s="7" t="s">
        <v>12</v>
      </c>
      <c r="G20" s="7" t="s">
        <v>62</v>
      </c>
    </row>
    <row r="21" customFormat="false" ht="21.75" hidden="false" customHeight="true" outlineLevel="0" collapsed="false">
      <c r="B21" s="11" t="s">
        <v>102</v>
      </c>
      <c r="C21" s="12" t="s">
        <v>27</v>
      </c>
      <c r="D21" s="13" t="s">
        <v>103</v>
      </c>
      <c r="E21" s="14" t="s">
        <v>104</v>
      </c>
      <c r="F21" s="5" t="s">
        <v>19</v>
      </c>
      <c r="G21" s="5" t="s">
        <v>55</v>
      </c>
    </row>
    <row r="22" customFormat="false" ht="21.75" hidden="false" customHeight="true" outlineLevel="0" collapsed="false">
      <c r="B22" s="15" t="s">
        <v>105</v>
      </c>
      <c r="C22" s="16" t="s">
        <v>27</v>
      </c>
      <c r="D22" s="17" t="s">
        <v>106</v>
      </c>
      <c r="E22" s="18" t="s">
        <v>107</v>
      </c>
      <c r="F22" s="7" t="s">
        <v>19</v>
      </c>
      <c r="G22" s="7" t="s">
        <v>55</v>
      </c>
    </row>
    <row r="23" customFormat="false" ht="21.75" hidden="false" customHeight="true" outlineLevel="0" collapsed="false">
      <c r="B23" s="11" t="s">
        <v>108</v>
      </c>
      <c r="C23" s="12" t="s">
        <v>27</v>
      </c>
      <c r="D23" s="13" t="s">
        <v>109</v>
      </c>
      <c r="E23" s="14" t="s">
        <v>110</v>
      </c>
      <c r="F23" s="5" t="s">
        <v>12</v>
      </c>
      <c r="G23" s="5" t="s">
        <v>62</v>
      </c>
    </row>
    <row r="24" customFormat="false" ht="21.75" hidden="false" customHeight="true" outlineLevel="0" collapsed="false">
      <c r="B24" s="15" t="s">
        <v>111</v>
      </c>
      <c r="C24" s="16" t="s">
        <v>27</v>
      </c>
      <c r="D24" s="17" t="s">
        <v>112</v>
      </c>
      <c r="E24" s="18" t="s">
        <v>113</v>
      </c>
      <c r="F24" s="7" t="s">
        <v>20</v>
      </c>
      <c r="G24" s="7" t="s">
        <v>62</v>
      </c>
    </row>
    <row r="25" customFormat="false" ht="21.75" hidden="false" customHeight="true" outlineLevel="0" collapsed="false">
      <c r="B25" s="11" t="s">
        <v>114</v>
      </c>
      <c r="C25" s="12" t="s">
        <v>27</v>
      </c>
      <c r="D25" s="13" t="s">
        <v>115</v>
      </c>
      <c r="E25" s="14" t="s">
        <v>116</v>
      </c>
      <c r="F25" s="5" t="s">
        <v>12</v>
      </c>
      <c r="G25" s="5" t="s">
        <v>55</v>
      </c>
    </row>
    <row r="26" customFormat="false" ht="21.75" hidden="false" customHeight="true" outlineLevel="0" collapsed="false">
      <c r="B26" s="15" t="s">
        <v>117</v>
      </c>
      <c r="C26" s="16" t="s">
        <v>27</v>
      </c>
      <c r="D26" s="17" t="s">
        <v>118</v>
      </c>
      <c r="E26" s="18" t="s">
        <v>119</v>
      </c>
      <c r="F26" s="7" t="s">
        <v>20</v>
      </c>
      <c r="G26" s="7" t="s">
        <v>62</v>
      </c>
    </row>
    <row r="27" customFormat="false" ht="21.75" hidden="false" customHeight="true" outlineLevel="0" collapsed="false">
      <c r="B27" s="11" t="s">
        <v>120</v>
      </c>
      <c r="C27" s="12" t="s">
        <v>27</v>
      </c>
      <c r="D27" s="13" t="s">
        <v>121</v>
      </c>
      <c r="E27" s="14" t="s">
        <v>122</v>
      </c>
      <c r="F27" s="5" t="s">
        <v>19</v>
      </c>
      <c r="G27" s="5" t="s">
        <v>123</v>
      </c>
    </row>
    <row r="28" customFormat="false" ht="21.75" hidden="false" customHeight="true" outlineLevel="0" collapsed="false">
      <c r="B28" s="15" t="s">
        <v>124</v>
      </c>
      <c r="C28" s="16" t="s">
        <v>27</v>
      </c>
      <c r="D28" s="17" t="s">
        <v>125</v>
      </c>
      <c r="E28" s="18" t="s">
        <v>126</v>
      </c>
      <c r="F28" s="7" t="s">
        <v>12</v>
      </c>
      <c r="G28" s="7" t="s">
        <v>55</v>
      </c>
    </row>
    <row r="29" customFormat="false" ht="21.75" hidden="false" customHeight="true" outlineLevel="0" collapsed="false">
      <c r="B29" s="11" t="s">
        <v>127</v>
      </c>
      <c r="C29" s="12" t="s">
        <v>27</v>
      </c>
      <c r="D29" s="13" t="s">
        <v>128</v>
      </c>
      <c r="E29" s="14" t="s">
        <v>129</v>
      </c>
      <c r="F29" s="5" t="s">
        <v>12</v>
      </c>
      <c r="G29" s="5" t="s">
        <v>55</v>
      </c>
    </row>
    <row r="30" customFormat="false" ht="21.75" hidden="false" customHeight="true" outlineLevel="0" collapsed="false">
      <c r="B30" s="15" t="s">
        <v>130</v>
      </c>
      <c r="C30" s="16" t="s">
        <v>27</v>
      </c>
      <c r="D30" s="17" t="s">
        <v>131</v>
      </c>
      <c r="E30" s="18" t="s">
        <v>132</v>
      </c>
      <c r="F30" s="7" t="s">
        <v>19</v>
      </c>
      <c r="G30" s="7" t="s">
        <v>55</v>
      </c>
    </row>
    <row r="31" customFormat="false" ht="21.75" hidden="false" customHeight="true" outlineLevel="0" collapsed="false">
      <c r="B31" s="11" t="s">
        <v>133</v>
      </c>
      <c r="C31" s="12" t="s">
        <v>27</v>
      </c>
      <c r="D31" s="13" t="s">
        <v>134</v>
      </c>
      <c r="E31" s="14" t="s">
        <v>135</v>
      </c>
      <c r="F31" s="5" t="s">
        <v>12</v>
      </c>
      <c r="G31" s="5" t="s">
        <v>55</v>
      </c>
    </row>
    <row r="32" customFormat="false" ht="21.75" hidden="false" customHeight="true" outlineLevel="0" collapsed="false">
      <c r="B32" s="15" t="s">
        <v>136</v>
      </c>
      <c r="C32" s="16" t="s">
        <v>27</v>
      </c>
      <c r="D32" s="17" t="s">
        <v>137</v>
      </c>
      <c r="E32" s="18" t="s">
        <v>138</v>
      </c>
      <c r="F32" s="7" t="s">
        <v>12</v>
      </c>
      <c r="G32" s="7" t="s">
        <v>62</v>
      </c>
    </row>
    <row r="33" customFormat="false" ht="21.75" hidden="false" customHeight="true" outlineLevel="0" collapsed="false">
      <c r="B33" s="11" t="s">
        <v>139</v>
      </c>
      <c r="C33" s="12" t="s">
        <v>27</v>
      </c>
      <c r="D33" s="13" t="s">
        <v>140</v>
      </c>
      <c r="E33" s="14" t="s">
        <v>141</v>
      </c>
      <c r="F33" s="5" t="s">
        <v>20</v>
      </c>
      <c r="G33" s="5" t="s">
        <v>62</v>
      </c>
    </row>
    <row r="34" customFormat="false" ht="21.75" hidden="false" customHeight="true" outlineLevel="0" collapsed="false">
      <c r="B34" s="15" t="s">
        <v>142</v>
      </c>
      <c r="C34" s="16" t="s">
        <v>27</v>
      </c>
      <c r="D34" s="17" t="s">
        <v>143</v>
      </c>
      <c r="E34" s="18" t="s">
        <v>144</v>
      </c>
      <c r="F34" s="7" t="s">
        <v>12</v>
      </c>
      <c r="G34" s="7" t="s">
        <v>55</v>
      </c>
    </row>
    <row r="35" customFormat="false" ht="21.75" hidden="false" customHeight="true" outlineLevel="0" collapsed="false">
      <c r="B35" s="11" t="s">
        <v>145</v>
      </c>
      <c r="C35" s="12" t="s">
        <v>27</v>
      </c>
      <c r="D35" s="13" t="s">
        <v>146</v>
      </c>
      <c r="E35" s="14" t="s">
        <v>147</v>
      </c>
      <c r="F35" s="5" t="s">
        <v>19</v>
      </c>
      <c r="G35" s="5" t="s">
        <v>123</v>
      </c>
    </row>
    <row r="36" customFormat="false" ht="21.75" hidden="false" customHeight="true" outlineLevel="0" collapsed="false">
      <c r="B36" s="15" t="s">
        <v>148</v>
      </c>
      <c r="C36" s="16" t="s">
        <v>27</v>
      </c>
      <c r="D36" s="17" t="s">
        <v>149</v>
      </c>
      <c r="E36" s="18" t="s">
        <v>150</v>
      </c>
      <c r="F36" s="7" t="s">
        <v>12</v>
      </c>
      <c r="G36" s="7" t="s">
        <v>62</v>
      </c>
    </row>
    <row r="37" customFormat="false" ht="21.75" hidden="false" customHeight="true" outlineLevel="0" collapsed="false">
      <c r="B37" s="11" t="s">
        <v>151</v>
      </c>
      <c r="C37" s="12" t="s">
        <v>27</v>
      </c>
      <c r="D37" s="13" t="s">
        <v>152</v>
      </c>
      <c r="E37" s="14" t="s">
        <v>153</v>
      </c>
      <c r="F37" s="5" t="s">
        <v>19</v>
      </c>
      <c r="G37" s="5" t="s">
        <v>123</v>
      </c>
    </row>
    <row r="38" customFormat="false" ht="21.75" hidden="false" customHeight="true" outlineLevel="0" collapsed="false">
      <c r="B38" s="15" t="s">
        <v>154</v>
      </c>
      <c r="C38" s="16" t="s">
        <v>27</v>
      </c>
      <c r="D38" s="17" t="s">
        <v>155</v>
      </c>
      <c r="E38" s="18" t="s">
        <v>156</v>
      </c>
      <c r="F38" s="7" t="s">
        <v>19</v>
      </c>
      <c r="G38" s="7" t="s">
        <v>55</v>
      </c>
    </row>
    <row r="39" customFormat="false" ht="21.75" hidden="false" customHeight="true" outlineLevel="0" collapsed="false">
      <c r="B39" s="11" t="s">
        <v>157</v>
      </c>
      <c r="C39" s="12" t="s">
        <v>27</v>
      </c>
      <c r="D39" s="13" t="s">
        <v>158</v>
      </c>
      <c r="E39" s="14" t="s">
        <v>159</v>
      </c>
      <c r="F39" s="5" t="s">
        <v>19</v>
      </c>
      <c r="G39" s="5" t="s">
        <v>55</v>
      </c>
    </row>
    <row r="40" customFormat="false" ht="21.75" hidden="false" customHeight="true" outlineLevel="0" collapsed="false">
      <c r="B40" s="15" t="s">
        <v>160</v>
      </c>
      <c r="C40" s="16" t="s">
        <v>23</v>
      </c>
      <c r="D40" s="17" t="s">
        <v>161</v>
      </c>
      <c r="E40" s="18" t="s">
        <v>162</v>
      </c>
      <c r="F40" s="7" t="s">
        <v>12</v>
      </c>
      <c r="G40" s="7" t="s">
        <v>55</v>
      </c>
    </row>
    <row r="41" customFormat="false" ht="21.75" hidden="false" customHeight="true" outlineLevel="0" collapsed="false">
      <c r="B41" s="11" t="s">
        <v>163</v>
      </c>
      <c r="C41" s="12" t="s">
        <v>23</v>
      </c>
      <c r="D41" s="13" t="s">
        <v>164</v>
      </c>
      <c r="E41" s="14" t="s">
        <v>165</v>
      </c>
      <c r="F41" s="5" t="s">
        <v>19</v>
      </c>
      <c r="G41" s="5" t="s">
        <v>123</v>
      </c>
    </row>
    <row r="42" customFormat="false" ht="21.75" hidden="false" customHeight="true" outlineLevel="0" collapsed="false">
      <c r="B42" s="15" t="s">
        <v>166</v>
      </c>
      <c r="C42" s="16" t="s">
        <v>23</v>
      </c>
      <c r="D42" s="17" t="s">
        <v>167</v>
      </c>
      <c r="E42" s="18" t="s">
        <v>168</v>
      </c>
      <c r="F42" s="7" t="s">
        <v>19</v>
      </c>
      <c r="G42" s="7" t="s">
        <v>55</v>
      </c>
    </row>
    <row r="43" customFormat="false" ht="21.75" hidden="false" customHeight="true" outlineLevel="0" collapsed="false">
      <c r="B43" s="11" t="s">
        <v>169</v>
      </c>
      <c r="C43" s="12" t="s">
        <v>23</v>
      </c>
      <c r="D43" s="13" t="s">
        <v>170</v>
      </c>
      <c r="E43" s="14" t="s">
        <v>171</v>
      </c>
      <c r="F43" s="5" t="s">
        <v>19</v>
      </c>
      <c r="G43" s="5" t="s">
        <v>55</v>
      </c>
    </row>
    <row r="44" customFormat="false" ht="21.75" hidden="false" customHeight="true" outlineLevel="0" collapsed="false">
      <c r="B44" s="15" t="s">
        <v>172</v>
      </c>
      <c r="C44" s="16" t="s">
        <v>23</v>
      </c>
      <c r="D44" s="17" t="s">
        <v>173</v>
      </c>
      <c r="E44" s="18" t="s">
        <v>174</v>
      </c>
      <c r="F44" s="7" t="s">
        <v>19</v>
      </c>
      <c r="G44" s="7" t="s">
        <v>55</v>
      </c>
    </row>
    <row r="45" customFormat="false" ht="21.75" hidden="false" customHeight="true" outlineLevel="0" collapsed="false">
      <c r="B45" s="11" t="s">
        <v>175</v>
      </c>
      <c r="C45" s="12" t="s">
        <v>23</v>
      </c>
      <c r="D45" s="13" t="s">
        <v>176</v>
      </c>
      <c r="E45" s="14" t="s">
        <v>177</v>
      </c>
      <c r="F45" s="5" t="s">
        <v>19</v>
      </c>
      <c r="G45" s="5" t="s">
        <v>123</v>
      </c>
    </row>
    <row r="46" customFormat="false" ht="21.75" hidden="false" customHeight="true" outlineLevel="0" collapsed="false">
      <c r="B46" s="15" t="s">
        <v>178</v>
      </c>
      <c r="C46" s="16" t="s">
        <v>23</v>
      </c>
      <c r="D46" s="17" t="s">
        <v>179</v>
      </c>
      <c r="E46" s="18" t="s">
        <v>180</v>
      </c>
      <c r="F46" s="7" t="s">
        <v>12</v>
      </c>
      <c r="G46" s="7" t="s">
        <v>55</v>
      </c>
    </row>
    <row r="47" customFormat="false" ht="21.75" hidden="false" customHeight="true" outlineLevel="0" collapsed="false">
      <c r="B47" s="11" t="s">
        <v>181</v>
      </c>
      <c r="C47" s="12" t="s">
        <v>23</v>
      </c>
      <c r="D47" s="13" t="s">
        <v>182</v>
      </c>
      <c r="E47" s="14" t="s">
        <v>183</v>
      </c>
      <c r="F47" s="5" t="s">
        <v>19</v>
      </c>
      <c r="G47" s="5" t="s">
        <v>62</v>
      </c>
    </row>
    <row r="48" customFormat="false" ht="21.75" hidden="false" customHeight="true" outlineLevel="0" collapsed="false">
      <c r="B48" s="15" t="s">
        <v>184</v>
      </c>
      <c r="C48" s="16" t="s">
        <v>23</v>
      </c>
      <c r="D48" s="17" t="s">
        <v>185</v>
      </c>
      <c r="E48" s="18" t="s">
        <v>186</v>
      </c>
      <c r="F48" s="7" t="s">
        <v>19</v>
      </c>
      <c r="G48" s="7" t="s">
        <v>123</v>
      </c>
    </row>
    <row r="49" customFormat="false" ht="21.75" hidden="false" customHeight="true" outlineLevel="0" collapsed="false">
      <c r="B49" s="11" t="s">
        <v>187</v>
      </c>
      <c r="C49" s="12" t="s">
        <v>23</v>
      </c>
      <c r="D49" s="13" t="s">
        <v>188</v>
      </c>
      <c r="E49" s="14" t="s">
        <v>189</v>
      </c>
      <c r="F49" s="5" t="s">
        <v>12</v>
      </c>
      <c r="G49" s="5" t="s">
        <v>55</v>
      </c>
    </row>
    <row r="50" customFormat="false" ht="21.75" hidden="false" customHeight="true" outlineLevel="0" collapsed="false">
      <c r="B50" s="15" t="s">
        <v>190</v>
      </c>
      <c r="C50" s="16" t="s">
        <v>23</v>
      </c>
      <c r="D50" s="17" t="s">
        <v>191</v>
      </c>
      <c r="E50" s="18" t="s">
        <v>192</v>
      </c>
      <c r="F50" s="7" t="s">
        <v>19</v>
      </c>
      <c r="G50" s="7" t="s">
        <v>62</v>
      </c>
    </row>
    <row r="51" customFormat="false" ht="21.75" hidden="false" customHeight="true" outlineLevel="0" collapsed="false">
      <c r="B51" s="11" t="s">
        <v>193</v>
      </c>
      <c r="C51" s="12" t="s">
        <v>23</v>
      </c>
      <c r="D51" s="13" t="s">
        <v>194</v>
      </c>
      <c r="E51" s="14" t="s">
        <v>195</v>
      </c>
      <c r="F51" s="5" t="s">
        <v>19</v>
      </c>
      <c r="G51" s="5" t="s">
        <v>123</v>
      </c>
    </row>
    <row r="52" customFormat="false" ht="21.75" hidden="false" customHeight="true" outlineLevel="0" collapsed="false">
      <c r="B52" s="15" t="s">
        <v>196</v>
      </c>
      <c r="C52" s="16" t="s">
        <v>23</v>
      </c>
      <c r="D52" s="17" t="s">
        <v>197</v>
      </c>
      <c r="E52" s="18" t="s">
        <v>198</v>
      </c>
      <c r="F52" s="7" t="s">
        <v>19</v>
      </c>
      <c r="G52" s="7" t="s">
        <v>123</v>
      </c>
    </row>
    <row r="53" customFormat="false" ht="21.75" hidden="false" customHeight="true" outlineLevel="0" collapsed="false">
      <c r="B53" s="11" t="s">
        <v>199</v>
      </c>
      <c r="C53" s="12" t="s">
        <v>23</v>
      </c>
      <c r="D53" s="13" t="s">
        <v>200</v>
      </c>
      <c r="E53" s="14" t="s">
        <v>201</v>
      </c>
      <c r="F53" s="5" t="s">
        <v>20</v>
      </c>
      <c r="G53" s="5" t="s">
        <v>62</v>
      </c>
    </row>
    <row r="54" customFormat="false" ht="21.75" hidden="false" customHeight="true" outlineLevel="0" collapsed="false">
      <c r="B54" s="15" t="s">
        <v>202</v>
      </c>
      <c r="C54" s="16" t="s">
        <v>23</v>
      </c>
      <c r="D54" s="17" t="s">
        <v>203</v>
      </c>
      <c r="E54" s="18" t="s">
        <v>204</v>
      </c>
      <c r="F54" s="7" t="s">
        <v>19</v>
      </c>
      <c r="G54" s="7" t="s">
        <v>123</v>
      </c>
    </row>
    <row r="55" customFormat="false" ht="21.75" hidden="false" customHeight="true" outlineLevel="0" collapsed="false">
      <c r="B55" s="11" t="s">
        <v>205</v>
      </c>
      <c r="C55" s="12" t="s">
        <v>23</v>
      </c>
      <c r="D55" s="13" t="s">
        <v>206</v>
      </c>
      <c r="E55" s="14" t="s">
        <v>207</v>
      </c>
      <c r="F55" s="5" t="s">
        <v>12</v>
      </c>
      <c r="G55" s="5" t="s">
        <v>55</v>
      </c>
    </row>
    <row r="56" customFormat="false" ht="21.75" hidden="false" customHeight="true" outlineLevel="0" collapsed="false">
      <c r="B56" s="15" t="s">
        <v>208</v>
      </c>
      <c r="C56" s="16" t="s">
        <v>23</v>
      </c>
      <c r="D56" s="17" t="s">
        <v>209</v>
      </c>
      <c r="E56" s="18" t="s">
        <v>210</v>
      </c>
      <c r="F56" s="7" t="s">
        <v>19</v>
      </c>
      <c r="G56" s="7" t="s">
        <v>123</v>
      </c>
    </row>
    <row r="57" customFormat="false" ht="21.75" hidden="false" customHeight="true" outlineLevel="0" collapsed="false">
      <c r="B57" s="11" t="s">
        <v>211</v>
      </c>
      <c r="C57" s="12" t="s">
        <v>23</v>
      </c>
      <c r="D57" s="13" t="s">
        <v>212</v>
      </c>
      <c r="E57" s="14" t="s">
        <v>213</v>
      </c>
      <c r="F57" s="5" t="s">
        <v>19</v>
      </c>
      <c r="G57" s="5" t="s">
        <v>62</v>
      </c>
    </row>
    <row r="58" customFormat="false" ht="21.75" hidden="false" customHeight="true" outlineLevel="0" collapsed="false">
      <c r="B58" s="15" t="s">
        <v>214</v>
      </c>
      <c r="C58" s="16" t="s">
        <v>23</v>
      </c>
      <c r="D58" s="17" t="s">
        <v>215</v>
      </c>
      <c r="E58" s="18" t="s">
        <v>216</v>
      </c>
      <c r="F58" s="7" t="s">
        <v>19</v>
      </c>
      <c r="G58" s="7" t="s">
        <v>123</v>
      </c>
    </row>
    <row r="59" customFormat="false" ht="21.75" hidden="false" customHeight="true" outlineLevel="0" collapsed="false">
      <c r="B59" s="11" t="s">
        <v>217</v>
      </c>
      <c r="C59" s="12" t="s">
        <v>23</v>
      </c>
      <c r="D59" s="13" t="s">
        <v>218</v>
      </c>
      <c r="E59" s="14" t="s">
        <v>219</v>
      </c>
      <c r="F59" s="5" t="s">
        <v>19</v>
      </c>
      <c r="G59" s="5" t="s">
        <v>55</v>
      </c>
    </row>
    <row r="60" customFormat="false" ht="21.75" hidden="false" customHeight="true" outlineLevel="0" collapsed="false">
      <c r="B60" s="15" t="s">
        <v>220</v>
      </c>
      <c r="C60" s="16" t="s">
        <v>23</v>
      </c>
      <c r="D60" s="17" t="s">
        <v>221</v>
      </c>
      <c r="E60" s="18" t="s">
        <v>222</v>
      </c>
      <c r="F60" s="7" t="s">
        <v>12</v>
      </c>
      <c r="G60" s="7" t="s">
        <v>62</v>
      </c>
    </row>
    <row r="61" customFormat="false" ht="21.75" hidden="false" customHeight="true" outlineLevel="0" collapsed="false">
      <c r="B61" s="11" t="s">
        <v>223</v>
      </c>
      <c r="C61" s="12" t="s">
        <v>23</v>
      </c>
      <c r="D61" s="13" t="s">
        <v>224</v>
      </c>
      <c r="E61" s="14" t="s">
        <v>225</v>
      </c>
      <c r="F61" s="5" t="s">
        <v>19</v>
      </c>
      <c r="G61" s="5" t="s">
        <v>123</v>
      </c>
    </row>
    <row r="62" customFormat="false" ht="21.75" hidden="false" customHeight="true" outlineLevel="0" collapsed="false">
      <c r="B62" s="15" t="s">
        <v>226</v>
      </c>
      <c r="C62" s="16" t="s">
        <v>23</v>
      </c>
      <c r="D62" s="17" t="s">
        <v>227</v>
      </c>
      <c r="E62" s="18" t="s">
        <v>228</v>
      </c>
      <c r="F62" s="7" t="s">
        <v>20</v>
      </c>
      <c r="G62" s="7" t="s">
        <v>229</v>
      </c>
    </row>
    <row r="63" customFormat="false" ht="21.75" hidden="false" customHeight="true" outlineLevel="0" collapsed="false">
      <c r="B63" s="11" t="s">
        <v>230</v>
      </c>
      <c r="C63" s="12" t="s">
        <v>23</v>
      </c>
      <c r="D63" s="13" t="s">
        <v>231</v>
      </c>
      <c r="E63" s="14" t="s">
        <v>232</v>
      </c>
      <c r="F63" s="5" t="s">
        <v>20</v>
      </c>
      <c r="G63" s="5" t="s">
        <v>62</v>
      </c>
    </row>
    <row r="64" customFormat="false" ht="21.75" hidden="false" customHeight="true" outlineLevel="0" collapsed="false">
      <c r="B64" s="15" t="s">
        <v>233</v>
      </c>
      <c r="C64" s="16" t="s">
        <v>23</v>
      </c>
      <c r="D64" s="17" t="s">
        <v>234</v>
      </c>
      <c r="E64" s="18" t="s">
        <v>235</v>
      </c>
      <c r="F64" s="7" t="s">
        <v>20</v>
      </c>
      <c r="G64" s="7" t="s">
        <v>229</v>
      </c>
    </row>
    <row r="65" customFormat="false" ht="21.75" hidden="false" customHeight="true" outlineLevel="0" collapsed="false">
      <c r="B65" s="11" t="s">
        <v>236</v>
      </c>
      <c r="C65" s="12" t="s">
        <v>23</v>
      </c>
      <c r="D65" s="13" t="s">
        <v>237</v>
      </c>
      <c r="E65" s="14" t="s">
        <v>238</v>
      </c>
      <c r="F65" s="5" t="s">
        <v>12</v>
      </c>
      <c r="G65" s="5" t="s">
        <v>62</v>
      </c>
    </row>
    <row r="66" customFormat="false" ht="21.75" hidden="false" customHeight="true" outlineLevel="0" collapsed="false">
      <c r="B66" s="15" t="s">
        <v>239</v>
      </c>
      <c r="C66" s="16" t="s">
        <v>23</v>
      </c>
      <c r="D66" s="17" t="s">
        <v>240</v>
      </c>
      <c r="E66" s="18" t="s">
        <v>241</v>
      </c>
      <c r="F66" s="7" t="s">
        <v>19</v>
      </c>
      <c r="G66" s="7" t="s">
        <v>123</v>
      </c>
    </row>
    <row r="67" customFormat="false" ht="21.75" hidden="false" customHeight="true" outlineLevel="0" collapsed="false">
      <c r="B67" s="11" t="s">
        <v>242</v>
      </c>
      <c r="C67" s="12" t="s">
        <v>23</v>
      </c>
      <c r="D67" s="13" t="s">
        <v>243</v>
      </c>
      <c r="E67" s="14" t="s">
        <v>244</v>
      </c>
      <c r="F67" s="5" t="s">
        <v>19</v>
      </c>
      <c r="G67" s="5" t="s">
        <v>55</v>
      </c>
    </row>
    <row r="68" customFormat="false" ht="21.75" hidden="false" customHeight="true" outlineLevel="0" collapsed="false">
      <c r="B68" s="15" t="s">
        <v>245</v>
      </c>
      <c r="C68" s="16" t="s">
        <v>23</v>
      </c>
      <c r="D68" s="17" t="s">
        <v>246</v>
      </c>
      <c r="E68" s="18" t="s">
        <v>247</v>
      </c>
      <c r="F68" s="7" t="s">
        <v>12</v>
      </c>
      <c r="G68" s="7" t="s">
        <v>55</v>
      </c>
    </row>
    <row r="69" customFormat="false" ht="21.75" hidden="false" customHeight="true" outlineLevel="0" collapsed="false">
      <c r="B69" s="11" t="s">
        <v>248</v>
      </c>
      <c r="C69" s="12" t="s">
        <v>23</v>
      </c>
      <c r="D69" s="13" t="s">
        <v>249</v>
      </c>
      <c r="E69" s="14" t="s">
        <v>250</v>
      </c>
      <c r="F69" s="5" t="s">
        <v>19</v>
      </c>
      <c r="G69" s="5" t="s">
        <v>123</v>
      </c>
    </row>
    <row r="70" customFormat="false" ht="21.75" hidden="false" customHeight="true" outlineLevel="0" collapsed="false">
      <c r="B70" s="15" t="s">
        <v>251</v>
      </c>
      <c r="C70" s="16" t="s">
        <v>30</v>
      </c>
      <c r="D70" s="17" t="s">
        <v>252</v>
      </c>
      <c r="E70" s="18" t="s">
        <v>253</v>
      </c>
      <c r="F70" s="7" t="s">
        <v>12</v>
      </c>
      <c r="G70" s="7" t="s">
        <v>55</v>
      </c>
    </row>
    <row r="71" customFormat="false" ht="21.75" hidden="false" customHeight="true" outlineLevel="0" collapsed="false">
      <c r="B71" s="11" t="s">
        <v>254</v>
      </c>
      <c r="C71" s="12" t="s">
        <v>30</v>
      </c>
      <c r="D71" s="13" t="s">
        <v>255</v>
      </c>
      <c r="E71" s="14" t="s">
        <v>256</v>
      </c>
      <c r="F71" s="5" t="s">
        <v>19</v>
      </c>
      <c r="G71" s="5" t="s">
        <v>123</v>
      </c>
    </row>
    <row r="72" customFormat="false" ht="21.75" hidden="false" customHeight="true" outlineLevel="0" collapsed="false">
      <c r="B72" s="15" t="s">
        <v>257</v>
      </c>
      <c r="C72" s="16" t="s">
        <v>30</v>
      </c>
      <c r="D72" s="17" t="s">
        <v>258</v>
      </c>
      <c r="E72" s="18" t="s">
        <v>259</v>
      </c>
      <c r="F72" s="7" t="s">
        <v>19</v>
      </c>
      <c r="G72" s="7" t="s">
        <v>123</v>
      </c>
    </row>
    <row r="73" customFormat="false" ht="21.75" hidden="false" customHeight="true" outlineLevel="0" collapsed="false">
      <c r="B73" s="11" t="s">
        <v>260</v>
      </c>
      <c r="C73" s="12" t="s">
        <v>30</v>
      </c>
      <c r="D73" s="13" t="s">
        <v>261</v>
      </c>
      <c r="E73" s="14" t="s">
        <v>262</v>
      </c>
      <c r="F73" s="5" t="s">
        <v>12</v>
      </c>
      <c r="G73" s="5" t="s">
        <v>55</v>
      </c>
    </row>
    <row r="74" customFormat="false" ht="21.75" hidden="false" customHeight="true" outlineLevel="0" collapsed="false">
      <c r="B74" s="15" t="s">
        <v>263</v>
      </c>
      <c r="C74" s="16" t="s">
        <v>30</v>
      </c>
      <c r="D74" s="17" t="s">
        <v>264</v>
      </c>
      <c r="E74" s="18" t="s">
        <v>265</v>
      </c>
      <c r="F74" s="7" t="s">
        <v>12</v>
      </c>
      <c r="G74" s="7" t="s">
        <v>62</v>
      </c>
    </row>
    <row r="75" customFormat="false" ht="21.75" hidden="false" customHeight="true" outlineLevel="0" collapsed="false">
      <c r="B75" s="11" t="s">
        <v>266</v>
      </c>
      <c r="C75" s="12" t="s">
        <v>30</v>
      </c>
      <c r="D75" s="13" t="s">
        <v>267</v>
      </c>
      <c r="E75" s="14" t="s">
        <v>268</v>
      </c>
      <c r="F75" s="5" t="s">
        <v>19</v>
      </c>
      <c r="G75" s="5" t="s">
        <v>123</v>
      </c>
    </row>
    <row r="76" customFormat="false" ht="21.75" hidden="false" customHeight="true" outlineLevel="0" collapsed="false">
      <c r="B76" s="15" t="s">
        <v>269</v>
      </c>
      <c r="C76" s="16" t="s">
        <v>30</v>
      </c>
      <c r="D76" s="17" t="s">
        <v>270</v>
      </c>
      <c r="E76" s="18" t="s">
        <v>271</v>
      </c>
      <c r="F76" s="7" t="s">
        <v>19</v>
      </c>
      <c r="G76" s="7" t="s">
        <v>55</v>
      </c>
    </row>
    <row r="77" customFormat="false" ht="21.75" hidden="false" customHeight="true" outlineLevel="0" collapsed="false">
      <c r="B77" s="11" t="s">
        <v>272</v>
      </c>
      <c r="C77" s="12" t="s">
        <v>30</v>
      </c>
      <c r="D77" s="13" t="s">
        <v>273</v>
      </c>
      <c r="E77" s="14" t="s">
        <v>274</v>
      </c>
      <c r="F77" s="5" t="s">
        <v>19</v>
      </c>
      <c r="G77" s="5" t="s">
        <v>123</v>
      </c>
    </row>
    <row r="78" customFormat="false" ht="21.75" hidden="false" customHeight="true" outlineLevel="0" collapsed="false">
      <c r="B78" s="15" t="s">
        <v>275</v>
      </c>
      <c r="C78" s="16" t="s">
        <v>30</v>
      </c>
      <c r="D78" s="17" t="s">
        <v>276</v>
      </c>
      <c r="E78" s="18" t="s">
        <v>277</v>
      </c>
      <c r="F78" s="7" t="s">
        <v>19</v>
      </c>
      <c r="G78" s="7" t="s">
        <v>55</v>
      </c>
    </row>
    <row r="79" customFormat="false" ht="21.75" hidden="false" customHeight="true" outlineLevel="0" collapsed="false">
      <c r="B79" s="11" t="s">
        <v>278</v>
      </c>
      <c r="C79" s="12" t="s">
        <v>30</v>
      </c>
      <c r="D79" s="13" t="s">
        <v>279</v>
      </c>
      <c r="E79" s="14" t="s">
        <v>280</v>
      </c>
      <c r="F79" s="5" t="s">
        <v>19</v>
      </c>
      <c r="G79" s="5" t="s">
        <v>55</v>
      </c>
    </row>
    <row r="80" customFormat="false" ht="21.75" hidden="false" customHeight="true" outlineLevel="0" collapsed="false">
      <c r="B80" s="15" t="s">
        <v>281</v>
      </c>
      <c r="C80" s="16" t="s">
        <v>30</v>
      </c>
      <c r="D80" s="17" t="s">
        <v>282</v>
      </c>
      <c r="E80" s="18" t="s">
        <v>283</v>
      </c>
      <c r="F80" s="7" t="s">
        <v>19</v>
      </c>
      <c r="G80" s="7" t="s">
        <v>55</v>
      </c>
    </row>
    <row r="81" customFormat="false" ht="21.75" hidden="false" customHeight="true" outlineLevel="0" collapsed="false">
      <c r="B81" s="11" t="s">
        <v>284</v>
      </c>
      <c r="C81" s="12" t="s">
        <v>30</v>
      </c>
      <c r="D81" s="13" t="s">
        <v>285</v>
      </c>
      <c r="E81" s="14" t="s">
        <v>286</v>
      </c>
      <c r="F81" s="5" t="s">
        <v>19</v>
      </c>
      <c r="G81" s="5" t="s">
        <v>55</v>
      </c>
    </row>
    <row r="82" customFormat="false" ht="21.75" hidden="false" customHeight="true" outlineLevel="0" collapsed="false">
      <c r="B82" s="15" t="s">
        <v>287</v>
      </c>
      <c r="C82" s="16" t="s">
        <v>30</v>
      </c>
      <c r="D82" s="17" t="s">
        <v>288</v>
      </c>
      <c r="E82" s="18" t="s">
        <v>289</v>
      </c>
      <c r="F82" s="7" t="s">
        <v>19</v>
      </c>
      <c r="G82" s="7" t="s">
        <v>123</v>
      </c>
    </row>
    <row r="83" customFormat="false" ht="21.75" hidden="false" customHeight="true" outlineLevel="0" collapsed="false">
      <c r="B83" s="11" t="s">
        <v>290</v>
      </c>
      <c r="C83" s="12" t="s">
        <v>30</v>
      </c>
      <c r="D83" s="13" t="s">
        <v>291</v>
      </c>
      <c r="E83" s="14" t="s">
        <v>292</v>
      </c>
      <c r="F83" s="5" t="s">
        <v>19</v>
      </c>
      <c r="G83" s="5" t="s">
        <v>123</v>
      </c>
    </row>
    <row r="84" customFormat="false" ht="21.75" hidden="false" customHeight="true" outlineLevel="0" collapsed="false">
      <c r="B84" s="15" t="s">
        <v>293</v>
      </c>
      <c r="C84" s="16" t="s">
        <v>30</v>
      </c>
      <c r="D84" s="17" t="s">
        <v>294</v>
      </c>
      <c r="E84" s="18" t="s">
        <v>295</v>
      </c>
      <c r="F84" s="7" t="s">
        <v>19</v>
      </c>
      <c r="G84" s="7" t="s">
        <v>123</v>
      </c>
    </row>
    <row r="85" customFormat="false" ht="21.75" hidden="false" customHeight="true" outlineLevel="0" collapsed="false">
      <c r="B85" s="11" t="s">
        <v>296</v>
      </c>
      <c r="C85" s="12" t="s">
        <v>30</v>
      </c>
      <c r="D85" s="13" t="s">
        <v>297</v>
      </c>
      <c r="E85" s="14" t="s">
        <v>298</v>
      </c>
      <c r="F85" s="5" t="s">
        <v>12</v>
      </c>
      <c r="G85" s="5" t="s">
        <v>62</v>
      </c>
    </row>
    <row r="86" customFormat="false" ht="21.75" hidden="false" customHeight="true" outlineLevel="0" collapsed="false">
      <c r="B86" s="15" t="s">
        <v>299</v>
      </c>
      <c r="C86" s="16" t="s">
        <v>30</v>
      </c>
      <c r="D86" s="17" t="s">
        <v>300</v>
      </c>
      <c r="E86" s="18" t="s">
        <v>301</v>
      </c>
      <c r="F86" s="7" t="s">
        <v>19</v>
      </c>
      <c r="G86" s="7" t="s">
        <v>55</v>
      </c>
    </row>
    <row r="87" customFormat="false" ht="21.75" hidden="false" customHeight="true" outlineLevel="0" collapsed="false">
      <c r="B87" s="11" t="s">
        <v>302</v>
      </c>
      <c r="C87" s="12" t="s">
        <v>30</v>
      </c>
      <c r="D87" s="13" t="s">
        <v>303</v>
      </c>
      <c r="E87" s="14" t="s">
        <v>304</v>
      </c>
      <c r="F87" s="5" t="s">
        <v>19</v>
      </c>
      <c r="G87" s="5" t="s">
        <v>123</v>
      </c>
    </row>
    <row r="88" customFormat="false" ht="21.75" hidden="false" customHeight="true" outlineLevel="0" collapsed="false">
      <c r="B88" s="15" t="s">
        <v>305</v>
      </c>
      <c r="C88" s="16" t="s">
        <v>30</v>
      </c>
      <c r="D88" s="17" t="s">
        <v>306</v>
      </c>
      <c r="E88" s="18" t="s">
        <v>307</v>
      </c>
      <c r="F88" s="7" t="s">
        <v>19</v>
      </c>
      <c r="G88" s="7" t="s">
        <v>123</v>
      </c>
    </row>
    <row r="89" customFormat="false" ht="21.75" hidden="false" customHeight="true" outlineLevel="0" collapsed="false">
      <c r="B89" s="11" t="s">
        <v>308</v>
      </c>
      <c r="C89" s="12" t="s">
        <v>30</v>
      </c>
      <c r="D89" s="13" t="s">
        <v>309</v>
      </c>
      <c r="E89" s="14" t="s">
        <v>310</v>
      </c>
      <c r="F89" s="5" t="s">
        <v>12</v>
      </c>
      <c r="G89" s="5" t="s">
        <v>62</v>
      </c>
    </row>
    <row r="90" customFormat="false" ht="21.75" hidden="false" customHeight="true" outlineLevel="0" collapsed="false">
      <c r="B90" s="15" t="s">
        <v>311</v>
      </c>
      <c r="C90" s="16" t="s">
        <v>30</v>
      </c>
      <c r="D90" s="17" t="s">
        <v>312</v>
      </c>
      <c r="E90" s="18" t="s">
        <v>313</v>
      </c>
      <c r="F90" s="7" t="s">
        <v>19</v>
      </c>
      <c r="G90" s="7" t="s">
        <v>229</v>
      </c>
    </row>
    <row r="91" customFormat="false" ht="21.75" hidden="false" customHeight="true" outlineLevel="0" collapsed="false">
      <c r="B91" s="11" t="s">
        <v>314</v>
      </c>
      <c r="C91" s="12" t="s">
        <v>30</v>
      </c>
      <c r="D91" s="13" t="s">
        <v>315</v>
      </c>
      <c r="E91" s="14" t="s">
        <v>316</v>
      </c>
      <c r="F91" s="5" t="s">
        <v>19</v>
      </c>
      <c r="G91" s="5" t="s">
        <v>123</v>
      </c>
    </row>
    <row r="92" customFormat="false" ht="21.75" hidden="false" customHeight="true" outlineLevel="0" collapsed="false">
      <c r="B92" s="15" t="s">
        <v>317</v>
      </c>
      <c r="C92" s="16" t="s">
        <v>30</v>
      </c>
      <c r="D92" s="17" t="s">
        <v>318</v>
      </c>
      <c r="E92" s="18" t="s">
        <v>319</v>
      </c>
      <c r="F92" s="7" t="s">
        <v>19</v>
      </c>
      <c r="G92" s="7" t="s">
        <v>123</v>
      </c>
    </row>
    <row r="93" customFormat="false" ht="21.75" hidden="false" customHeight="true" outlineLevel="0" collapsed="false">
      <c r="B93" s="11" t="s">
        <v>320</v>
      </c>
      <c r="C93" s="12" t="s">
        <v>30</v>
      </c>
      <c r="D93" s="13" t="s">
        <v>321</v>
      </c>
      <c r="E93" s="14" t="s">
        <v>322</v>
      </c>
      <c r="F93" s="5" t="s">
        <v>19</v>
      </c>
      <c r="G93" s="5" t="s">
        <v>123</v>
      </c>
    </row>
    <row r="94" customFormat="false" ht="21.75" hidden="false" customHeight="true" outlineLevel="0" collapsed="false">
      <c r="B94" s="15" t="s">
        <v>323</v>
      </c>
      <c r="C94" s="16" t="s">
        <v>30</v>
      </c>
      <c r="D94" s="17" t="s">
        <v>324</v>
      </c>
      <c r="E94" s="18" t="s">
        <v>325</v>
      </c>
      <c r="F94" s="7" t="s">
        <v>19</v>
      </c>
      <c r="G94" s="7" t="s">
        <v>123</v>
      </c>
    </row>
    <row r="95" customFormat="false" ht="21.75" hidden="false" customHeight="true" outlineLevel="0" collapsed="false">
      <c r="B95" s="11" t="s">
        <v>326</v>
      </c>
      <c r="C95" s="12" t="s">
        <v>25</v>
      </c>
      <c r="D95" s="13" t="s">
        <v>327</v>
      </c>
      <c r="E95" s="14" t="s">
        <v>328</v>
      </c>
      <c r="F95" s="5" t="s">
        <v>12</v>
      </c>
      <c r="G95" s="5" t="s">
        <v>55</v>
      </c>
    </row>
    <row r="96" customFormat="false" ht="21.75" hidden="false" customHeight="true" outlineLevel="0" collapsed="false">
      <c r="B96" s="15" t="s">
        <v>329</v>
      </c>
      <c r="C96" s="16" t="s">
        <v>25</v>
      </c>
      <c r="D96" s="17" t="s">
        <v>330</v>
      </c>
      <c r="E96" s="18" t="s">
        <v>331</v>
      </c>
      <c r="F96" s="7" t="s">
        <v>12</v>
      </c>
      <c r="G96" s="7" t="s">
        <v>62</v>
      </c>
    </row>
    <row r="97" customFormat="false" ht="21.75" hidden="false" customHeight="true" outlineLevel="0" collapsed="false">
      <c r="B97" s="11" t="s">
        <v>332</v>
      </c>
      <c r="C97" s="12" t="s">
        <v>25</v>
      </c>
      <c r="D97" s="13" t="s">
        <v>333</v>
      </c>
      <c r="E97" s="14" t="s">
        <v>334</v>
      </c>
      <c r="F97" s="5" t="s">
        <v>19</v>
      </c>
      <c r="G97" s="5" t="s">
        <v>55</v>
      </c>
    </row>
    <row r="98" customFormat="false" ht="21.75" hidden="false" customHeight="true" outlineLevel="0" collapsed="false">
      <c r="B98" s="15" t="s">
        <v>335</v>
      </c>
      <c r="C98" s="16" t="s">
        <v>25</v>
      </c>
      <c r="D98" s="17" t="s">
        <v>336</v>
      </c>
      <c r="E98" s="18" t="s">
        <v>337</v>
      </c>
      <c r="F98" s="7" t="s">
        <v>19</v>
      </c>
      <c r="G98" s="7" t="s">
        <v>55</v>
      </c>
    </row>
    <row r="99" customFormat="false" ht="21.75" hidden="false" customHeight="true" outlineLevel="0" collapsed="false">
      <c r="B99" s="11" t="s">
        <v>338</v>
      </c>
      <c r="C99" s="12" t="s">
        <v>25</v>
      </c>
      <c r="D99" s="13" t="s">
        <v>339</v>
      </c>
      <c r="E99" s="14" t="s">
        <v>340</v>
      </c>
      <c r="F99" s="5" t="s">
        <v>19</v>
      </c>
      <c r="G99" s="5" t="s">
        <v>55</v>
      </c>
    </row>
    <row r="100" customFormat="false" ht="21.75" hidden="false" customHeight="true" outlineLevel="0" collapsed="false">
      <c r="B100" s="15" t="s">
        <v>341</v>
      </c>
      <c r="C100" s="16" t="s">
        <v>25</v>
      </c>
      <c r="D100" s="17" t="s">
        <v>342</v>
      </c>
      <c r="E100" s="18" t="s">
        <v>343</v>
      </c>
      <c r="F100" s="7" t="s">
        <v>19</v>
      </c>
      <c r="G100" s="7" t="s">
        <v>55</v>
      </c>
    </row>
    <row r="101" customFormat="false" ht="21.75" hidden="false" customHeight="true" outlineLevel="0" collapsed="false">
      <c r="B101" s="11" t="s">
        <v>344</v>
      </c>
      <c r="C101" s="12" t="s">
        <v>25</v>
      </c>
      <c r="D101" s="13" t="s">
        <v>345</v>
      </c>
      <c r="E101" s="14" t="s">
        <v>346</v>
      </c>
      <c r="F101" s="5" t="s">
        <v>12</v>
      </c>
      <c r="G101" s="5" t="s">
        <v>55</v>
      </c>
    </row>
    <row r="102" customFormat="false" ht="21.75" hidden="false" customHeight="true" outlineLevel="0" collapsed="false">
      <c r="B102" s="15" t="s">
        <v>347</v>
      </c>
      <c r="C102" s="16" t="s">
        <v>25</v>
      </c>
      <c r="D102" s="17" t="s">
        <v>348</v>
      </c>
      <c r="E102" s="18" t="s">
        <v>349</v>
      </c>
      <c r="F102" s="7" t="s">
        <v>19</v>
      </c>
      <c r="G102" s="7" t="s">
        <v>55</v>
      </c>
    </row>
    <row r="103" customFormat="false" ht="21.75" hidden="false" customHeight="true" outlineLevel="0" collapsed="false">
      <c r="B103" s="11" t="s">
        <v>350</v>
      </c>
      <c r="C103" s="12" t="s">
        <v>25</v>
      </c>
      <c r="D103" s="13" t="s">
        <v>351</v>
      </c>
      <c r="E103" s="14" t="s">
        <v>352</v>
      </c>
      <c r="F103" s="5" t="s">
        <v>19</v>
      </c>
      <c r="G103" s="5" t="s">
        <v>123</v>
      </c>
    </row>
    <row r="104" customFormat="false" ht="21.75" hidden="false" customHeight="true" outlineLevel="0" collapsed="false">
      <c r="B104" s="15" t="s">
        <v>353</v>
      </c>
      <c r="C104" s="16" t="s">
        <v>25</v>
      </c>
      <c r="D104" s="17" t="s">
        <v>354</v>
      </c>
      <c r="E104" s="18" t="s">
        <v>355</v>
      </c>
      <c r="F104" s="7" t="s">
        <v>19</v>
      </c>
      <c r="G104" s="7" t="s">
        <v>123</v>
      </c>
    </row>
    <row r="105" customFormat="false" ht="21.75" hidden="false" customHeight="true" outlineLevel="0" collapsed="false">
      <c r="B105" s="11" t="s">
        <v>356</v>
      </c>
      <c r="C105" s="12" t="s">
        <v>25</v>
      </c>
      <c r="D105" s="13" t="s">
        <v>357</v>
      </c>
      <c r="E105" s="14" t="s">
        <v>358</v>
      </c>
      <c r="F105" s="5" t="s">
        <v>19</v>
      </c>
      <c r="G105" s="5" t="s">
        <v>123</v>
      </c>
    </row>
    <row r="106" customFormat="false" ht="21.75" hidden="false" customHeight="true" outlineLevel="0" collapsed="false">
      <c r="B106" s="15" t="s">
        <v>359</v>
      </c>
      <c r="C106" s="16" t="s">
        <v>25</v>
      </c>
      <c r="D106" s="17" t="s">
        <v>360</v>
      </c>
      <c r="E106" s="18" t="s">
        <v>361</v>
      </c>
      <c r="F106" s="7" t="s">
        <v>12</v>
      </c>
      <c r="G106" s="7" t="s">
        <v>62</v>
      </c>
    </row>
    <row r="107" customFormat="false" ht="21.75" hidden="false" customHeight="true" outlineLevel="0" collapsed="false">
      <c r="B107" s="11" t="s">
        <v>362</v>
      </c>
      <c r="C107" s="12" t="s">
        <v>25</v>
      </c>
      <c r="D107" s="13" t="s">
        <v>363</v>
      </c>
      <c r="E107" s="14" t="s">
        <v>364</v>
      </c>
      <c r="F107" s="5" t="s">
        <v>12</v>
      </c>
      <c r="G107" s="5" t="s">
        <v>62</v>
      </c>
    </row>
    <row r="108" customFormat="false" ht="21.75" hidden="false" customHeight="true" outlineLevel="0" collapsed="false">
      <c r="B108" s="15" t="s">
        <v>365</v>
      </c>
      <c r="C108" s="16" t="s">
        <v>25</v>
      </c>
      <c r="D108" s="17" t="s">
        <v>366</v>
      </c>
      <c r="E108" s="18" t="s">
        <v>367</v>
      </c>
      <c r="F108" s="7" t="s">
        <v>19</v>
      </c>
      <c r="G108" s="7" t="s">
        <v>55</v>
      </c>
    </row>
    <row r="109" customFormat="false" ht="21.75" hidden="false" customHeight="true" outlineLevel="0" collapsed="false">
      <c r="B109" s="11" t="s">
        <v>368</v>
      </c>
      <c r="C109" s="12" t="s">
        <v>25</v>
      </c>
      <c r="D109" s="13" t="s">
        <v>369</v>
      </c>
      <c r="E109" s="14" t="s">
        <v>370</v>
      </c>
      <c r="F109" s="5" t="s">
        <v>19</v>
      </c>
      <c r="G109" s="5" t="s">
        <v>55</v>
      </c>
    </row>
    <row r="110" customFormat="false" ht="21.75" hidden="false" customHeight="true" outlineLevel="0" collapsed="false">
      <c r="B110" s="15" t="s">
        <v>371</v>
      </c>
      <c r="C110" s="16" t="s">
        <v>25</v>
      </c>
      <c r="D110" s="17" t="s">
        <v>372</v>
      </c>
      <c r="E110" s="18" t="s">
        <v>373</v>
      </c>
      <c r="F110" s="7" t="s">
        <v>19</v>
      </c>
      <c r="G110" s="7" t="s">
        <v>55</v>
      </c>
    </row>
    <row r="111" customFormat="false" ht="21.75" hidden="false" customHeight="true" outlineLevel="0" collapsed="false">
      <c r="B111" s="11" t="s">
        <v>374</v>
      </c>
      <c r="C111" s="12" t="s">
        <v>25</v>
      </c>
      <c r="D111" s="13" t="s">
        <v>375</v>
      </c>
      <c r="E111" s="14" t="s">
        <v>376</v>
      </c>
      <c r="F111" s="5" t="s">
        <v>19</v>
      </c>
      <c r="G111" s="5" t="s">
        <v>123</v>
      </c>
    </row>
    <row r="112" customFormat="false" ht="21.75" hidden="false" customHeight="true" outlineLevel="0" collapsed="false">
      <c r="B112" s="15" t="s">
        <v>377</v>
      </c>
      <c r="C112" s="16" t="s">
        <v>25</v>
      </c>
      <c r="D112" s="17" t="s">
        <v>378</v>
      </c>
      <c r="E112" s="18" t="s">
        <v>379</v>
      </c>
      <c r="F112" s="7" t="s">
        <v>19</v>
      </c>
      <c r="G112" s="7" t="s">
        <v>123</v>
      </c>
    </row>
    <row r="113" customFormat="false" ht="21.75" hidden="false" customHeight="true" outlineLevel="0" collapsed="false">
      <c r="B113" s="11" t="s">
        <v>380</v>
      </c>
      <c r="C113" s="12" t="s">
        <v>25</v>
      </c>
      <c r="D113" s="13" t="s">
        <v>381</v>
      </c>
      <c r="E113" s="14" t="s">
        <v>382</v>
      </c>
      <c r="F113" s="5" t="s">
        <v>19</v>
      </c>
      <c r="G113" s="5" t="s">
        <v>55</v>
      </c>
    </row>
    <row r="114" customFormat="false" ht="21.75" hidden="false" customHeight="true" outlineLevel="0" collapsed="false">
      <c r="B114" s="15" t="s">
        <v>383</v>
      </c>
      <c r="C114" s="16" t="s">
        <v>25</v>
      </c>
      <c r="D114" s="17" t="s">
        <v>384</v>
      </c>
      <c r="E114" s="18" t="s">
        <v>385</v>
      </c>
      <c r="F114" s="7" t="s">
        <v>19</v>
      </c>
      <c r="G114" s="7" t="s">
        <v>55</v>
      </c>
    </row>
    <row r="115" customFormat="false" ht="21.75" hidden="false" customHeight="true" outlineLevel="0" collapsed="false">
      <c r="B115" s="11" t="s">
        <v>386</v>
      </c>
      <c r="C115" s="12" t="s">
        <v>25</v>
      </c>
      <c r="D115" s="13" t="s">
        <v>387</v>
      </c>
      <c r="E115" s="14" t="s">
        <v>388</v>
      </c>
      <c r="F115" s="5" t="s">
        <v>19</v>
      </c>
      <c r="G115" s="5" t="s">
        <v>62</v>
      </c>
    </row>
    <row r="116" customFormat="false" ht="21.75" hidden="false" customHeight="true" outlineLevel="0" collapsed="false">
      <c r="B116" s="15" t="s">
        <v>389</v>
      </c>
      <c r="C116" s="16" t="s">
        <v>25</v>
      </c>
      <c r="D116" s="17" t="s">
        <v>390</v>
      </c>
      <c r="E116" s="18" t="s">
        <v>391</v>
      </c>
      <c r="F116" s="7" t="s">
        <v>19</v>
      </c>
      <c r="G116" s="7" t="s">
        <v>55</v>
      </c>
    </row>
    <row r="117" customFormat="false" ht="21.75" hidden="false" customHeight="true" outlineLevel="0" collapsed="false">
      <c r="B117" s="11" t="s">
        <v>392</v>
      </c>
      <c r="C117" s="12" t="s">
        <v>25</v>
      </c>
      <c r="D117" s="13" t="s">
        <v>393</v>
      </c>
      <c r="E117" s="14" t="s">
        <v>394</v>
      </c>
      <c r="F117" s="5" t="s">
        <v>19</v>
      </c>
      <c r="G117" s="5" t="s">
        <v>123</v>
      </c>
    </row>
    <row r="118" customFormat="false" ht="21.75" hidden="false" customHeight="true" outlineLevel="0" collapsed="false">
      <c r="B118" s="15" t="s">
        <v>395</v>
      </c>
      <c r="C118" s="16" t="s">
        <v>25</v>
      </c>
      <c r="D118" s="17" t="s">
        <v>396</v>
      </c>
      <c r="E118" s="18" t="s">
        <v>397</v>
      </c>
      <c r="F118" s="7" t="s">
        <v>19</v>
      </c>
      <c r="G118" s="7" t="s">
        <v>123</v>
      </c>
    </row>
    <row r="119" customFormat="false" ht="21.75" hidden="false" customHeight="true" outlineLevel="0" collapsed="false">
      <c r="B119" s="11" t="s">
        <v>398</v>
      </c>
      <c r="C119" s="12" t="s">
        <v>25</v>
      </c>
      <c r="D119" s="13" t="s">
        <v>399</v>
      </c>
      <c r="E119" s="14" t="s">
        <v>400</v>
      </c>
      <c r="F119" s="5" t="s">
        <v>19</v>
      </c>
      <c r="G119" s="5" t="s">
        <v>55</v>
      </c>
    </row>
    <row r="120" customFormat="false" ht="21.75" hidden="false" customHeight="true" outlineLevel="0" collapsed="false">
      <c r="B120" s="15" t="s">
        <v>401</v>
      </c>
      <c r="C120" s="16" t="s">
        <v>26</v>
      </c>
      <c r="D120" s="17" t="s">
        <v>402</v>
      </c>
      <c r="E120" s="18" t="s">
        <v>403</v>
      </c>
      <c r="F120" s="7" t="s">
        <v>20</v>
      </c>
      <c r="G120" s="7" t="s">
        <v>55</v>
      </c>
    </row>
    <row r="121" customFormat="false" ht="21.75" hidden="false" customHeight="true" outlineLevel="0" collapsed="false">
      <c r="B121" s="11" t="s">
        <v>404</v>
      </c>
      <c r="C121" s="12" t="s">
        <v>26</v>
      </c>
      <c r="D121" s="13" t="s">
        <v>405</v>
      </c>
      <c r="E121" s="14" t="s">
        <v>406</v>
      </c>
      <c r="F121" s="5" t="s">
        <v>20</v>
      </c>
      <c r="G121" s="5" t="s">
        <v>62</v>
      </c>
    </row>
    <row r="122" customFormat="false" ht="21.75" hidden="false" customHeight="true" outlineLevel="0" collapsed="false">
      <c r="B122" s="15" t="s">
        <v>407</v>
      </c>
      <c r="C122" s="16" t="s">
        <v>26</v>
      </c>
      <c r="D122" s="17" t="s">
        <v>408</v>
      </c>
      <c r="E122" s="18" t="s">
        <v>409</v>
      </c>
      <c r="F122" s="7" t="s">
        <v>19</v>
      </c>
      <c r="G122" s="7" t="s">
        <v>123</v>
      </c>
    </row>
    <row r="123" customFormat="false" ht="21.75" hidden="false" customHeight="true" outlineLevel="0" collapsed="false">
      <c r="B123" s="11" t="s">
        <v>410</v>
      </c>
      <c r="C123" s="12" t="s">
        <v>26</v>
      </c>
      <c r="D123" s="13" t="s">
        <v>411</v>
      </c>
      <c r="E123" s="14" t="s">
        <v>412</v>
      </c>
      <c r="F123" s="5" t="s">
        <v>19</v>
      </c>
      <c r="G123" s="5" t="s">
        <v>55</v>
      </c>
    </row>
    <row r="124" customFormat="false" ht="21.75" hidden="false" customHeight="true" outlineLevel="0" collapsed="false">
      <c r="B124" s="15" t="s">
        <v>413</v>
      </c>
      <c r="C124" s="16" t="s">
        <v>26</v>
      </c>
      <c r="D124" s="17" t="s">
        <v>414</v>
      </c>
      <c r="E124" s="18" t="s">
        <v>415</v>
      </c>
      <c r="F124" s="7" t="s">
        <v>19</v>
      </c>
      <c r="G124" s="7" t="s">
        <v>123</v>
      </c>
    </row>
    <row r="125" customFormat="false" ht="21.75" hidden="false" customHeight="true" outlineLevel="0" collapsed="false">
      <c r="B125" s="11" t="s">
        <v>416</v>
      </c>
      <c r="C125" s="12" t="s">
        <v>26</v>
      </c>
      <c r="D125" s="13" t="s">
        <v>417</v>
      </c>
      <c r="E125" s="14" t="s">
        <v>418</v>
      </c>
      <c r="F125" s="5" t="s">
        <v>19</v>
      </c>
      <c r="G125" s="5" t="s">
        <v>55</v>
      </c>
    </row>
    <row r="126" customFormat="false" ht="21.75" hidden="false" customHeight="true" outlineLevel="0" collapsed="false">
      <c r="B126" s="15" t="s">
        <v>419</v>
      </c>
      <c r="C126" s="16" t="s">
        <v>26</v>
      </c>
      <c r="D126" s="17" t="s">
        <v>420</v>
      </c>
      <c r="E126" s="18" t="s">
        <v>421</v>
      </c>
      <c r="F126" s="7" t="s">
        <v>19</v>
      </c>
      <c r="G126" s="7" t="s">
        <v>55</v>
      </c>
    </row>
    <row r="127" customFormat="false" ht="21.75" hidden="false" customHeight="true" outlineLevel="0" collapsed="false">
      <c r="B127" s="11" t="s">
        <v>422</v>
      </c>
      <c r="C127" s="12" t="s">
        <v>26</v>
      </c>
      <c r="D127" s="13" t="s">
        <v>423</v>
      </c>
      <c r="E127" s="14" t="s">
        <v>424</v>
      </c>
      <c r="F127" s="5" t="s">
        <v>12</v>
      </c>
      <c r="G127" s="5" t="s">
        <v>62</v>
      </c>
    </row>
    <row r="128" customFormat="false" ht="21.75" hidden="false" customHeight="true" outlineLevel="0" collapsed="false">
      <c r="B128" s="15" t="s">
        <v>425</v>
      </c>
      <c r="C128" s="16" t="s">
        <v>26</v>
      </c>
      <c r="D128" s="17" t="s">
        <v>426</v>
      </c>
      <c r="E128" s="18" t="s">
        <v>427</v>
      </c>
      <c r="F128" s="7" t="s">
        <v>19</v>
      </c>
      <c r="G128" s="7" t="s">
        <v>229</v>
      </c>
    </row>
    <row r="129" customFormat="false" ht="21.75" hidden="false" customHeight="true" outlineLevel="0" collapsed="false">
      <c r="B129" s="11" t="s">
        <v>428</v>
      </c>
      <c r="C129" s="12" t="s">
        <v>26</v>
      </c>
      <c r="D129" s="13" t="s">
        <v>429</v>
      </c>
      <c r="E129" s="14" t="s">
        <v>430</v>
      </c>
      <c r="F129" s="5" t="s">
        <v>19</v>
      </c>
      <c r="G129" s="5" t="s">
        <v>123</v>
      </c>
    </row>
    <row r="130" customFormat="false" ht="21.75" hidden="false" customHeight="true" outlineLevel="0" collapsed="false">
      <c r="B130" s="15" t="s">
        <v>431</v>
      </c>
      <c r="C130" s="16" t="s">
        <v>26</v>
      </c>
      <c r="D130" s="17" t="s">
        <v>432</v>
      </c>
      <c r="E130" s="18" t="s">
        <v>433</v>
      </c>
      <c r="F130" s="7" t="s">
        <v>12</v>
      </c>
      <c r="G130" s="7" t="s">
        <v>62</v>
      </c>
    </row>
    <row r="131" customFormat="false" ht="21.75" hidden="false" customHeight="true" outlineLevel="0" collapsed="false">
      <c r="B131" s="11" t="s">
        <v>434</v>
      </c>
      <c r="C131" s="12" t="s">
        <v>26</v>
      </c>
      <c r="D131" s="13" t="s">
        <v>435</v>
      </c>
      <c r="E131" s="14" t="s">
        <v>436</v>
      </c>
      <c r="F131" s="5" t="s">
        <v>19</v>
      </c>
      <c r="G131" s="5" t="s">
        <v>55</v>
      </c>
    </row>
    <row r="132" customFormat="false" ht="21.75" hidden="false" customHeight="true" outlineLevel="0" collapsed="false">
      <c r="B132" s="15" t="s">
        <v>437</v>
      </c>
      <c r="C132" s="16" t="s">
        <v>26</v>
      </c>
      <c r="D132" s="17" t="s">
        <v>438</v>
      </c>
      <c r="E132" s="18" t="s">
        <v>439</v>
      </c>
      <c r="F132" s="7" t="s">
        <v>19</v>
      </c>
      <c r="G132" s="7" t="s">
        <v>123</v>
      </c>
    </row>
    <row r="133" customFormat="false" ht="21.75" hidden="false" customHeight="true" outlineLevel="0" collapsed="false">
      <c r="B133" s="11" t="s">
        <v>440</v>
      </c>
      <c r="C133" s="12" t="s">
        <v>26</v>
      </c>
      <c r="D133" s="13" t="s">
        <v>441</v>
      </c>
      <c r="E133" s="14" t="s">
        <v>442</v>
      </c>
      <c r="F133" s="5" t="s">
        <v>19</v>
      </c>
      <c r="G133" s="5" t="s">
        <v>55</v>
      </c>
    </row>
    <row r="134" customFormat="false" ht="21.75" hidden="false" customHeight="true" outlineLevel="0" collapsed="false">
      <c r="B134" s="15" t="s">
        <v>443</v>
      </c>
      <c r="C134" s="16" t="s">
        <v>26</v>
      </c>
      <c r="D134" s="17" t="s">
        <v>444</v>
      </c>
      <c r="E134" s="18" t="s">
        <v>445</v>
      </c>
      <c r="F134" s="7" t="s">
        <v>20</v>
      </c>
      <c r="G134" s="7" t="s">
        <v>62</v>
      </c>
    </row>
    <row r="135" customFormat="false" ht="21.75" hidden="false" customHeight="true" outlineLevel="0" collapsed="false">
      <c r="B135" s="11" t="s">
        <v>446</v>
      </c>
      <c r="C135" s="12" t="s">
        <v>26</v>
      </c>
      <c r="D135" s="13" t="s">
        <v>447</v>
      </c>
      <c r="E135" s="14" t="s">
        <v>448</v>
      </c>
      <c r="F135" s="5" t="s">
        <v>19</v>
      </c>
      <c r="G135" s="5" t="s">
        <v>123</v>
      </c>
    </row>
    <row r="136" customFormat="false" ht="21.75" hidden="false" customHeight="true" outlineLevel="0" collapsed="false">
      <c r="B136" s="15" t="s">
        <v>449</v>
      </c>
      <c r="C136" s="16" t="s">
        <v>26</v>
      </c>
      <c r="D136" s="17" t="s">
        <v>450</v>
      </c>
      <c r="E136" s="18" t="s">
        <v>451</v>
      </c>
      <c r="F136" s="7" t="s">
        <v>12</v>
      </c>
      <c r="G136" s="7" t="s">
        <v>62</v>
      </c>
    </row>
    <row r="137" customFormat="false" ht="21.75" hidden="false" customHeight="true" outlineLevel="0" collapsed="false">
      <c r="B137" s="11" t="s">
        <v>452</v>
      </c>
      <c r="C137" s="12" t="s">
        <v>26</v>
      </c>
      <c r="D137" s="13" t="s">
        <v>453</v>
      </c>
      <c r="E137" s="14" t="s">
        <v>454</v>
      </c>
      <c r="F137" s="5" t="s">
        <v>19</v>
      </c>
      <c r="G137" s="5" t="s">
        <v>55</v>
      </c>
    </row>
    <row r="138" customFormat="false" ht="21.75" hidden="false" customHeight="true" outlineLevel="0" collapsed="false">
      <c r="B138" s="15" t="s">
        <v>455</v>
      </c>
      <c r="C138" s="16" t="s">
        <v>26</v>
      </c>
      <c r="D138" s="17" t="s">
        <v>456</v>
      </c>
      <c r="E138" s="18" t="s">
        <v>457</v>
      </c>
      <c r="F138" s="7" t="s">
        <v>12</v>
      </c>
      <c r="G138" s="7" t="s">
        <v>55</v>
      </c>
    </row>
    <row r="139" customFormat="false" ht="21.75" hidden="false" customHeight="true" outlineLevel="0" collapsed="false">
      <c r="B139" s="11" t="s">
        <v>458</v>
      </c>
      <c r="C139" s="12" t="s">
        <v>26</v>
      </c>
      <c r="D139" s="13" t="s">
        <v>459</v>
      </c>
      <c r="E139" s="14" t="s">
        <v>460</v>
      </c>
      <c r="F139" s="5" t="s">
        <v>19</v>
      </c>
      <c r="G139" s="5" t="s">
        <v>55</v>
      </c>
    </row>
    <row r="140" customFormat="false" ht="21.75" hidden="false" customHeight="true" outlineLevel="0" collapsed="false">
      <c r="B140" s="15" t="s">
        <v>461</v>
      </c>
      <c r="C140" s="16" t="s">
        <v>26</v>
      </c>
      <c r="D140" s="17" t="s">
        <v>462</v>
      </c>
      <c r="E140" s="18" t="s">
        <v>463</v>
      </c>
      <c r="F140" s="7" t="s">
        <v>12</v>
      </c>
      <c r="G140" s="7" t="s">
        <v>62</v>
      </c>
    </row>
    <row r="141" customFormat="false" ht="21.75" hidden="false" customHeight="true" outlineLevel="0" collapsed="false">
      <c r="B141" s="11" t="s">
        <v>464</v>
      </c>
      <c r="C141" s="12" t="s">
        <v>26</v>
      </c>
      <c r="D141" s="13" t="s">
        <v>465</v>
      </c>
      <c r="E141" s="14" t="s">
        <v>466</v>
      </c>
      <c r="F141" s="5" t="s">
        <v>19</v>
      </c>
      <c r="G141" s="5" t="s">
        <v>55</v>
      </c>
    </row>
    <row r="142" customFormat="false" ht="21.75" hidden="false" customHeight="true" outlineLevel="0" collapsed="false">
      <c r="B142" s="15" t="s">
        <v>467</v>
      </c>
      <c r="C142" s="16" t="s">
        <v>26</v>
      </c>
      <c r="D142" s="17" t="s">
        <v>468</v>
      </c>
      <c r="E142" s="18" t="s">
        <v>469</v>
      </c>
      <c r="F142" s="7" t="s">
        <v>12</v>
      </c>
      <c r="G142" s="7" t="s">
        <v>62</v>
      </c>
    </row>
    <row r="143" customFormat="false" ht="21.75" hidden="false" customHeight="true" outlineLevel="0" collapsed="false">
      <c r="B143" s="11" t="s">
        <v>470</v>
      </c>
      <c r="C143" s="12" t="s">
        <v>26</v>
      </c>
      <c r="D143" s="13" t="s">
        <v>471</v>
      </c>
      <c r="E143" s="14" t="s">
        <v>472</v>
      </c>
      <c r="F143" s="5" t="s">
        <v>19</v>
      </c>
      <c r="G143" s="5" t="s">
        <v>123</v>
      </c>
    </row>
    <row r="144" customFormat="false" ht="21.75" hidden="false" customHeight="true" outlineLevel="0" collapsed="false">
      <c r="B144" s="15" t="s">
        <v>473</v>
      </c>
      <c r="C144" s="16" t="s">
        <v>26</v>
      </c>
      <c r="D144" s="17" t="s">
        <v>474</v>
      </c>
      <c r="E144" s="18" t="s">
        <v>475</v>
      </c>
      <c r="F144" s="7" t="s">
        <v>12</v>
      </c>
      <c r="G144" s="7" t="s">
        <v>229</v>
      </c>
    </row>
    <row r="145" customFormat="false" ht="21.75" hidden="false" customHeight="true" outlineLevel="0" collapsed="false">
      <c r="B145" s="11" t="s">
        <v>476</v>
      </c>
      <c r="C145" s="12" t="s">
        <v>26</v>
      </c>
      <c r="D145" s="13" t="s">
        <v>477</v>
      </c>
      <c r="E145" s="14" t="s">
        <v>478</v>
      </c>
      <c r="F145" s="5" t="s">
        <v>19</v>
      </c>
      <c r="G145" s="5" t="s">
        <v>55</v>
      </c>
    </row>
    <row r="146" customFormat="false" ht="21.75" hidden="false" customHeight="true" outlineLevel="0" collapsed="false">
      <c r="B146" s="15" t="s">
        <v>479</v>
      </c>
      <c r="C146" s="16" t="s">
        <v>26</v>
      </c>
      <c r="D146" s="17" t="s">
        <v>480</v>
      </c>
      <c r="E146" s="18" t="s">
        <v>481</v>
      </c>
      <c r="F146" s="7" t="s">
        <v>19</v>
      </c>
      <c r="G146" s="7" t="s">
        <v>55</v>
      </c>
    </row>
    <row r="147" customFormat="false" ht="21.75" hidden="false" customHeight="true" outlineLevel="0" collapsed="false">
      <c r="B147" s="11" t="s">
        <v>482</v>
      </c>
      <c r="C147" s="12" t="s">
        <v>26</v>
      </c>
      <c r="D147" s="13" t="s">
        <v>483</v>
      </c>
      <c r="E147" s="14" t="s">
        <v>484</v>
      </c>
      <c r="F147" s="5" t="s">
        <v>19</v>
      </c>
      <c r="G147" s="5" t="s">
        <v>55</v>
      </c>
    </row>
    <row r="148" customFormat="false" ht="21.75" hidden="false" customHeight="true" outlineLevel="0" collapsed="false">
      <c r="B148" s="15" t="s">
        <v>485</v>
      </c>
      <c r="C148" s="16" t="s">
        <v>26</v>
      </c>
      <c r="D148" s="17" t="s">
        <v>486</v>
      </c>
      <c r="E148" s="18" t="s">
        <v>487</v>
      </c>
      <c r="F148" s="7" t="s">
        <v>19</v>
      </c>
      <c r="G148" s="7" t="s">
        <v>123</v>
      </c>
    </row>
    <row r="149" customFormat="false" ht="21.75" hidden="false" customHeight="true" outlineLevel="0" collapsed="false">
      <c r="B149" s="11" t="s">
        <v>488</v>
      </c>
      <c r="C149" s="12" t="s">
        <v>26</v>
      </c>
      <c r="D149" s="13" t="s">
        <v>489</v>
      </c>
      <c r="E149" s="14" t="s">
        <v>490</v>
      </c>
      <c r="F149" s="5" t="s">
        <v>12</v>
      </c>
      <c r="G149" s="5" t="s">
        <v>62</v>
      </c>
    </row>
    <row r="150" customFormat="false" ht="21.75" hidden="false" customHeight="true" outlineLevel="0" collapsed="false">
      <c r="B150" s="15" t="s">
        <v>491</v>
      </c>
      <c r="C150" s="16" t="s">
        <v>24</v>
      </c>
      <c r="D150" s="17" t="s">
        <v>492</v>
      </c>
      <c r="E150" s="18" t="s">
        <v>493</v>
      </c>
      <c r="F150" s="7" t="s">
        <v>20</v>
      </c>
      <c r="G150" s="7" t="s">
        <v>55</v>
      </c>
    </row>
    <row r="151" customFormat="false" ht="21.75" hidden="false" customHeight="true" outlineLevel="0" collapsed="false">
      <c r="B151" s="11" t="s">
        <v>494</v>
      </c>
      <c r="C151" s="12" t="s">
        <v>24</v>
      </c>
      <c r="D151" s="13" t="s">
        <v>495</v>
      </c>
      <c r="E151" s="14" t="s">
        <v>496</v>
      </c>
      <c r="F151" s="5" t="s">
        <v>20</v>
      </c>
      <c r="G151" s="5" t="s">
        <v>62</v>
      </c>
    </row>
    <row r="152" customFormat="false" ht="21.75" hidden="false" customHeight="true" outlineLevel="0" collapsed="false">
      <c r="B152" s="15" t="s">
        <v>497</v>
      </c>
      <c r="C152" s="16" t="s">
        <v>24</v>
      </c>
      <c r="D152" s="17" t="s">
        <v>498</v>
      </c>
      <c r="E152" s="18" t="s">
        <v>499</v>
      </c>
      <c r="F152" s="7" t="s">
        <v>12</v>
      </c>
      <c r="G152" s="7" t="s">
        <v>55</v>
      </c>
    </row>
    <row r="153" customFormat="false" ht="21.75" hidden="false" customHeight="true" outlineLevel="0" collapsed="false">
      <c r="B153" s="11" t="s">
        <v>500</v>
      </c>
      <c r="C153" s="12" t="s">
        <v>24</v>
      </c>
      <c r="D153" s="13" t="s">
        <v>501</v>
      </c>
      <c r="E153" s="14" t="s">
        <v>502</v>
      </c>
      <c r="F153" s="5" t="s">
        <v>12</v>
      </c>
      <c r="G153" s="5" t="s">
        <v>62</v>
      </c>
    </row>
    <row r="154" customFormat="false" ht="21.75" hidden="false" customHeight="true" outlineLevel="0" collapsed="false">
      <c r="B154" s="15" t="s">
        <v>503</v>
      </c>
      <c r="C154" s="16" t="s">
        <v>24</v>
      </c>
      <c r="D154" s="17" t="s">
        <v>504</v>
      </c>
      <c r="E154" s="18" t="s">
        <v>505</v>
      </c>
      <c r="F154" s="7" t="s">
        <v>12</v>
      </c>
      <c r="G154" s="7" t="s">
        <v>55</v>
      </c>
    </row>
    <row r="155" customFormat="false" ht="21.75" hidden="false" customHeight="true" outlineLevel="0" collapsed="false">
      <c r="B155" s="11" t="s">
        <v>506</v>
      </c>
      <c r="C155" s="12" t="s">
        <v>24</v>
      </c>
      <c r="D155" s="13" t="s">
        <v>507</v>
      </c>
      <c r="E155" s="14" t="s">
        <v>508</v>
      </c>
      <c r="F155" s="5" t="s">
        <v>19</v>
      </c>
      <c r="G155" s="5" t="s">
        <v>123</v>
      </c>
    </row>
    <row r="156" customFormat="false" ht="21.75" hidden="false" customHeight="true" outlineLevel="0" collapsed="false">
      <c r="B156" s="15" t="s">
        <v>509</v>
      </c>
      <c r="C156" s="16" t="s">
        <v>24</v>
      </c>
      <c r="D156" s="17" t="s">
        <v>510</v>
      </c>
      <c r="E156" s="18" t="s">
        <v>511</v>
      </c>
      <c r="F156" s="7" t="s">
        <v>19</v>
      </c>
      <c r="G156" s="7" t="s">
        <v>123</v>
      </c>
    </row>
    <row r="157" customFormat="false" ht="21.75" hidden="false" customHeight="true" outlineLevel="0" collapsed="false">
      <c r="B157" s="11" t="s">
        <v>512</v>
      </c>
      <c r="C157" s="12" t="s">
        <v>24</v>
      </c>
      <c r="D157" s="13" t="s">
        <v>513</v>
      </c>
      <c r="E157" s="14" t="s">
        <v>514</v>
      </c>
      <c r="F157" s="5" t="s">
        <v>12</v>
      </c>
      <c r="G157" s="5" t="s">
        <v>55</v>
      </c>
    </row>
    <row r="158" customFormat="false" ht="21.75" hidden="false" customHeight="true" outlineLevel="0" collapsed="false">
      <c r="B158" s="15" t="s">
        <v>515</v>
      </c>
      <c r="C158" s="16" t="s">
        <v>24</v>
      </c>
      <c r="D158" s="17" t="s">
        <v>516</v>
      </c>
      <c r="E158" s="18" t="s">
        <v>517</v>
      </c>
      <c r="F158" s="7" t="s">
        <v>12</v>
      </c>
      <c r="G158" s="7" t="s">
        <v>62</v>
      </c>
    </row>
    <row r="159" customFormat="false" ht="21.75" hidden="false" customHeight="true" outlineLevel="0" collapsed="false">
      <c r="B159" s="11" t="s">
        <v>518</v>
      </c>
      <c r="C159" s="12" t="s">
        <v>24</v>
      </c>
      <c r="D159" s="13" t="s">
        <v>519</v>
      </c>
      <c r="E159" s="14" t="s">
        <v>520</v>
      </c>
      <c r="F159" s="5" t="s">
        <v>12</v>
      </c>
      <c r="G159" s="5" t="s">
        <v>55</v>
      </c>
    </row>
    <row r="160" customFormat="false" ht="21.75" hidden="false" customHeight="true" outlineLevel="0" collapsed="false">
      <c r="B160" s="15" t="s">
        <v>521</v>
      </c>
      <c r="C160" s="16" t="s">
        <v>24</v>
      </c>
      <c r="D160" s="17" t="s">
        <v>522</v>
      </c>
      <c r="E160" s="18" t="s">
        <v>523</v>
      </c>
      <c r="F160" s="7" t="s">
        <v>19</v>
      </c>
      <c r="G160" s="7" t="s">
        <v>62</v>
      </c>
    </row>
    <row r="161" customFormat="false" ht="21.75" hidden="false" customHeight="true" outlineLevel="0" collapsed="false">
      <c r="B161" s="11" t="s">
        <v>524</v>
      </c>
      <c r="C161" s="12" t="s">
        <v>24</v>
      </c>
      <c r="D161" s="13" t="s">
        <v>525</v>
      </c>
      <c r="E161" s="14" t="s">
        <v>526</v>
      </c>
      <c r="F161" s="5" t="s">
        <v>12</v>
      </c>
      <c r="G161" s="5" t="s">
        <v>55</v>
      </c>
    </row>
    <row r="162" customFormat="false" ht="21.75" hidden="false" customHeight="true" outlineLevel="0" collapsed="false">
      <c r="B162" s="15" t="s">
        <v>527</v>
      </c>
      <c r="C162" s="16" t="s">
        <v>24</v>
      </c>
      <c r="D162" s="17" t="s">
        <v>528</v>
      </c>
      <c r="E162" s="18" t="s">
        <v>529</v>
      </c>
      <c r="F162" s="7" t="s">
        <v>19</v>
      </c>
      <c r="G162" s="7" t="s">
        <v>123</v>
      </c>
    </row>
    <row r="163" customFormat="false" ht="21.75" hidden="false" customHeight="true" outlineLevel="0" collapsed="false">
      <c r="B163" s="11" t="s">
        <v>530</v>
      </c>
      <c r="C163" s="12" t="s">
        <v>24</v>
      </c>
      <c r="D163" s="13" t="s">
        <v>531</v>
      </c>
      <c r="E163" s="14" t="s">
        <v>532</v>
      </c>
      <c r="F163" s="5" t="s">
        <v>19</v>
      </c>
      <c r="G163" s="5" t="s">
        <v>55</v>
      </c>
    </row>
    <row r="164" customFormat="false" ht="21.75" hidden="false" customHeight="true" outlineLevel="0" collapsed="false">
      <c r="B164" s="15" t="s">
        <v>533</v>
      </c>
      <c r="C164" s="16" t="s">
        <v>24</v>
      </c>
      <c r="D164" s="17" t="s">
        <v>534</v>
      </c>
      <c r="E164" s="18" t="s">
        <v>535</v>
      </c>
      <c r="F164" s="7" t="s">
        <v>19</v>
      </c>
      <c r="G164" s="7" t="s">
        <v>123</v>
      </c>
    </row>
    <row r="165" customFormat="false" ht="21.75" hidden="false" customHeight="true" outlineLevel="0" collapsed="false">
      <c r="B165" s="11" t="s">
        <v>536</v>
      </c>
      <c r="C165" s="12" t="s">
        <v>24</v>
      </c>
      <c r="D165" s="13" t="s">
        <v>537</v>
      </c>
      <c r="E165" s="14" t="s">
        <v>538</v>
      </c>
      <c r="F165" s="5" t="s">
        <v>20</v>
      </c>
      <c r="G165" s="5" t="s">
        <v>229</v>
      </c>
    </row>
    <row r="166" customFormat="false" ht="21.75" hidden="false" customHeight="true" outlineLevel="0" collapsed="false">
      <c r="B166" s="15" t="s">
        <v>539</v>
      </c>
      <c r="C166" s="16" t="s">
        <v>24</v>
      </c>
      <c r="D166" s="17" t="s">
        <v>540</v>
      </c>
      <c r="E166" s="18" t="s">
        <v>541</v>
      </c>
      <c r="F166" s="7" t="s">
        <v>12</v>
      </c>
      <c r="G166" s="7" t="s">
        <v>55</v>
      </c>
    </row>
    <row r="167" customFormat="false" ht="21.75" hidden="false" customHeight="true" outlineLevel="0" collapsed="false">
      <c r="B167" s="11" t="s">
        <v>542</v>
      </c>
      <c r="C167" s="12" t="s">
        <v>24</v>
      </c>
      <c r="D167" s="13" t="s">
        <v>543</v>
      </c>
      <c r="E167" s="14" t="s">
        <v>544</v>
      </c>
      <c r="F167" s="5" t="s">
        <v>19</v>
      </c>
      <c r="G167" s="5" t="s">
        <v>123</v>
      </c>
    </row>
    <row r="168" customFormat="false" ht="21.75" hidden="false" customHeight="true" outlineLevel="0" collapsed="false">
      <c r="B168" s="15" t="s">
        <v>545</v>
      </c>
      <c r="C168" s="16" t="s">
        <v>24</v>
      </c>
      <c r="D168" s="17" t="s">
        <v>546</v>
      </c>
      <c r="E168" s="18" t="s">
        <v>547</v>
      </c>
      <c r="F168" s="7" t="s">
        <v>12</v>
      </c>
      <c r="G168" s="7" t="s">
        <v>55</v>
      </c>
    </row>
    <row r="169" customFormat="false" ht="21.75" hidden="false" customHeight="true" outlineLevel="0" collapsed="false">
      <c r="B169" s="11" t="s">
        <v>548</v>
      </c>
      <c r="C169" s="12" t="s">
        <v>24</v>
      </c>
      <c r="D169" s="13" t="s">
        <v>549</v>
      </c>
      <c r="E169" s="14" t="s">
        <v>550</v>
      </c>
      <c r="F169" s="5" t="s">
        <v>19</v>
      </c>
      <c r="G169" s="5" t="s">
        <v>55</v>
      </c>
    </row>
    <row r="170" customFormat="false" ht="21.75" hidden="false" customHeight="true" outlineLevel="0" collapsed="false">
      <c r="B170" s="15" t="s">
        <v>551</v>
      </c>
      <c r="C170" s="16" t="s">
        <v>24</v>
      </c>
      <c r="D170" s="17" t="s">
        <v>552</v>
      </c>
      <c r="E170" s="18" t="s">
        <v>553</v>
      </c>
      <c r="F170" s="7" t="s">
        <v>12</v>
      </c>
      <c r="G170" s="7" t="s">
        <v>62</v>
      </c>
    </row>
    <row r="171" customFormat="false" ht="21.75" hidden="false" customHeight="true" outlineLevel="0" collapsed="false">
      <c r="B171" s="11" t="s">
        <v>554</v>
      </c>
      <c r="C171" s="12" t="s">
        <v>24</v>
      </c>
      <c r="D171" s="13" t="s">
        <v>555</v>
      </c>
      <c r="E171" s="14" t="s">
        <v>556</v>
      </c>
      <c r="F171" s="5" t="s">
        <v>19</v>
      </c>
      <c r="G171" s="5" t="s">
        <v>123</v>
      </c>
    </row>
    <row r="172" customFormat="false" ht="21.75" hidden="false" customHeight="true" outlineLevel="0" collapsed="false">
      <c r="B172" s="15" t="s">
        <v>557</v>
      </c>
      <c r="C172" s="16" t="s">
        <v>24</v>
      </c>
      <c r="D172" s="17" t="s">
        <v>558</v>
      </c>
      <c r="E172" s="18" t="s">
        <v>559</v>
      </c>
      <c r="F172" s="7" t="s">
        <v>12</v>
      </c>
      <c r="G172" s="7" t="s">
        <v>62</v>
      </c>
    </row>
    <row r="173" customFormat="false" ht="21.75" hidden="false" customHeight="true" outlineLevel="0" collapsed="false">
      <c r="B173" s="11" t="s">
        <v>560</v>
      </c>
      <c r="C173" s="12" t="s">
        <v>24</v>
      </c>
      <c r="D173" s="13" t="s">
        <v>561</v>
      </c>
      <c r="E173" s="14" t="s">
        <v>562</v>
      </c>
      <c r="F173" s="5" t="s">
        <v>12</v>
      </c>
      <c r="G173" s="5" t="s">
        <v>62</v>
      </c>
    </row>
    <row r="174" customFormat="false" ht="21.75" hidden="false" customHeight="true" outlineLevel="0" collapsed="false">
      <c r="B174" s="15" t="s">
        <v>563</v>
      </c>
      <c r="C174" s="16" t="s">
        <v>24</v>
      </c>
      <c r="D174" s="17" t="s">
        <v>564</v>
      </c>
      <c r="E174" s="18" t="s">
        <v>565</v>
      </c>
      <c r="F174" s="7" t="s">
        <v>19</v>
      </c>
      <c r="G174" s="7" t="s">
        <v>55</v>
      </c>
    </row>
    <row r="175" customFormat="false" ht="21.75" hidden="false" customHeight="true" outlineLevel="0" collapsed="false">
      <c r="B175" s="11" t="s">
        <v>566</v>
      </c>
      <c r="C175" s="12" t="s">
        <v>24</v>
      </c>
      <c r="D175" s="13" t="s">
        <v>567</v>
      </c>
      <c r="E175" s="14" t="s">
        <v>568</v>
      </c>
      <c r="F175" s="5" t="s">
        <v>19</v>
      </c>
      <c r="G175" s="5" t="s">
        <v>123</v>
      </c>
    </row>
    <row r="176" customFormat="false" ht="21.75" hidden="false" customHeight="true" outlineLevel="0" collapsed="false">
      <c r="B176" s="15" t="s">
        <v>569</v>
      </c>
      <c r="C176" s="16" t="s">
        <v>24</v>
      </c>
      <c r="D176" s="17" t="s">
        <v>570</v>
      </c>
      <c r="E176" s="18" t="s">
        <v>571</v>
      </c>
      <c r="F176" s="7" t="s">
        <v>19</v>
      </c>
      <c r="G176" s="7" t="s">
        <v>55</v>
      </c>
    </row>
    <row r="177" customFormat="false" ht="21.75" hidden="false" customHeight="true" outlineLevel="0" collapsed="false">
      <c r="B177" s="11" t="s">
        <v>572</v>
      </c>
      <c r="C177" s="12" t="s">
        <v>24</v>
      </c>
      <c r="D177" s="13" t="s">
        <v>573</v>
      </c>
      <c r="E177" s="14" t="s">
        <v>574</v>
      </c>
      <c r="F177" s="5" t="s">
        <v>12</v>
      </c>
      <c r="G177" s="5" t="s">
        <v>55</v>
      </c>
    </row>
    <row r="178" customFormat="false" ht="21.75" hidden="false" customHeight="true" outlineLevel="0" collapsed="false">
      <c r="B178" s="15" t="s">
        <v>575</v>
      </c>
      <c r="C178" s="16" t="s">
        <v>24</v>
      </c>
      <c r="D178" s="17" t="s">
        <v>576</v>
      </c>
      <c r="E178" s="18" t="s">
        <v>577</v>
      </c>
      <c r="F178" s="7" t="s">
        <v>19</v>
      </c>
      <c r="G178" s="7" t="s">
        <v>55</v>
      </c>
    </row>
    <row r="179" customFormat="false" ht="21.75" hidden="false" customHeight="true" outlineLevel="0" collapsed="false">
      <c r="B179" s="11" t="s">
        <v>578</v>
      </c>
      <c r="C179" s="12" t="s">
        <v>24</v>
      </c>
      <c r="D179" s="13" t="s">
        <v>579</v>
      </c>
      <c r="E179" s="14" t="s">
        <v>580</v>
      </c>
      <c r="F179" s="5" t="s">
        <v>12</v>
      </c>
      <c r="G179" s="5" t="s">
        <v>62</v>
      </c>
    </row>
    <row r="180" customFormat="false" ht="21.75" hidden="false" customHeight="true" outlineLevel="0" collapsed="false">
      <c r="B180" s="15" t="s">
        <v>581</v>
      </c>
      <c r="C180" s="16" t="s">
        <v>31</v>
      </c>
      <c r="D180" s="17" t="s">
        <v>582</v>
      </c>
      <c r="E180" s="18" t="s">
        <v>583</v>
      </c>
      <c r="F180" s="7" t="s">
        <v>19</v>
      </c>
      <c r="G180" s="7" t="s">
        <v>123</v>
      </c>
    </row>
    <row r="181" customFormat="false" ht="21.75" hidden="false" customHeight="true" outlineLevel="0" collapsed="false">
      <c r="B181" s="11" t="s">
        <v>584</v>
      </c>
      <c r="C181" s="12" t="s">
        <v>31</v>
      </c>
      <c r="D181" s="13" t="s">
        <v>585</v>
      </c>
      <c r="E181" s="14" t="s">
        <v>586</v>
      </c>
      <c r="F181" s="5" t="s">
        <v>19</v>
      </c>
      <c r="G181" s="5" t="s">
        <v>123</v>
      </c>
    </row>
    <row r="182" customFormat="false" ht="21.75" hidden="false" customHeight="true" outlineLevel="0" collapsed="false">
      <c r="B182" s="15" t="s">
        <v>587</v>
      </c>
      <c r="C182" s="16" t="s">
        <v>31</v>
      </c>
      <c r="D182" s="17" t="s">
        <v>588</v>
      </c>
      <c r="E182" s="18" t="s">
        <v>589</v>
      </c>
      <c r="F182" s="7" t="s">
        <v>12</v>
      </c>
      <c r="G182" s="7" t="s">
        <v>123</v>
      </c>
    </row>
    <row r="183" customFormat="false" ht="21.75" hidden="false" customHeight="true" outlineLevel="0" collapsed="false">
      <c r="B183" s="11" t="s">
        <v>590</v>
      </c>
      <c r="C183" s="12" t="s">
        <v>31</v>
      </c>
      <c r="D183" s="13" t="s">
        <v>591</v>
      </c>
      <c r="E183" s="14" t="s">
        <v>592</v>
      </c>
      <c r="F183" s="5" t="s">
        <v>19</v>
      </c>
      <c r="G183" s="5" t="s">
        <v>123</v>
      </c>
    </row>
    <row r="184" customFormat="false" ht="21.75" hidden="false" customHeight="true" outlineLevel="0" collapsed="false">
      <c r="B184" s="15" t="s">
        <v>593</v>
      </c>
      <c r="C184" s="16" t="s">
        <v>31</v>
      </c>
      <c r="D184" s="17" t="s">
        <v>594</v>
      </c>
      <c r="E184" s="18" t="s">
        <v>595</v>
      </c>
      <c r="F184" s="7" t="s">
        <v>19</v>
      </c>
      <c r="G184" s="7" t="s">
        <v>123</v>
      </c>
    </row>
    <row r="185" customFormat="false" ht="21.75" hidden="false" customHeight="true" outlineLevel="0" collapsed="false">
      <c r="B185" s="11" t="s">
        <v>596</v>
      </c>
      <c r="C185" s="12" t="s">
        <v>31</v>
      </c>
      <c r="D185" s="13" t="s">
        <v>597</v>
      </c>
      <c r="E185" s="14" t="s">
        <v>598</v>
      </c>
      <c r="F185" s="5" t="s">
        <v>20</v>
      </c>
      <c r="G185" s="5" t="s">
        <v>55</v>
      </c>
    </row>
    <row r="186" customFormat="false" ht="21.75" hidden="false" customHeight="true" outlineLevel="0" collapsed="false">
      <c r="B186" s="15" t="s">
        <v>599</v>
      </c>
      <c r="C186" s="16" t="s">
        <v>31</v>
      </c>
      <c r="D186" s="17" t="s">
        <v>600</v>
      </c>
      <c r="E186" s="18" t="s">
        <v>601</v>
      </c>
      <c r="F186" s="7" t="s">
        <v>19</v>
      </c>
      <c r="G186" s="7" t="s">
        <v>55</v>
      </c>
    </row>
    <row r="187" customFormat="false" ht="21.75" hidden="false" customHeight="true" outlineLevel="0" collapsed="false">
      <c r="B187" s="11" t="s">
        <v>602</v>
      </c>
      <c r="C187" s="12" t="s">
        <v>31</v>
      </c>
      <c r="D187" s="13" t="s">
        <v>603</v>
      </c>
      <c r="E187" s="14" t="s">
        <v>604</v>
      </c>
      <c r="F187" s="5" t="s">
        <v>19</v>
      </c>
      <c r="G187" s="5" t="s">
        <v>123</v>
      </c>
    </row>
    <row r="188" customFormat="false" ht="21.75" hidden="false" customHeight="true" outlineLevel="0" collapsed="false">
      <c r="B188" s="15" t="s">
        <v>605</v>
      </c>
      <c r="C188" s="16" t="s">
        <v>31</v>
      </c>
      <c r="D188" s="17" t="s">
        <v>606</v>
      </c>
      <c r="E188" s="18" t="s">
        <v>607</v>
      </c>
      <c r="F188" s="7" t="s">
        <v>19</v>
      </c>
      <c r="G188" s="7" t="s">
        <v>55</v>
      </c>
    </row>
    <row r="189" customFormat="false" ht="21.75" hidden="false" customHeight="true" outlineLevel="0" collapsed="false">
      <c r="B189" s="11" t="s">
        <v>608</v>
      </c>
      <c r="C189" s="12" t="s">
        <v>31</v>
      </c>
      <c r="D189" s="13" t="s">
        <v>609</v>
      </c>
      <c r="E189" s="14" t="s">
        <v>610</v>
      </c>
      <c r="F189" s="5" t="s">
        <v>19</v>
      </c>
      <c r="G189" s="5" t="s">
        <v>123</v>
      </c>
    </row>
    <row r="190" customFormat="false" ht="21.75" hidden="false" customHeight="true" outlineLevel="0" collapsed="false">
      <c r="B190" s="15" t="s">
        <v>611</v>
      </c>
      <c r="C190" s="16" t="s">
        <v>31</v>
      </c>
      <c r="D190" s="17" t="s">
        <v>612</v>
      </c>
      <c r="E190" s="18" t="s">
        <v>613</v>
      </c>
      <c r="F190" s="7" t="s">
        <v>19</v>
      </c>
      <c r="G190" s="7" t="s">
        <v>123</v>
      </c>
    </row>
    <row r="191" customFormat="false" ht="21.75" hidden="false" customHeight="true" outlineLevel="0" collapsed="false">
      <c r="B191" s="11" t="s">
        <v>614</v>
      </c>
      <c r="C191" s="12" t="s">
        <v>31</v>
      </c>
      <c r="D191" s="13" t="s">
        <v>615</v>
      </c>
      <c r="E191" s="14" t="s">
        <v>616</v>
      </c>
      <c r="F191" s="5" t="s">
        <v>19</v>
      </c>
      <c r="G191" s="5" t="s">
        <v>123</v>
      </c>
    </row>
    <row r="192" customFormat="false" ht="21.75" hidden="false" customHeight="true" outlineLevel="0" collapsed="false">
      <c r="B192" s="15" t="s">
        <v>617</v>
      </c>
      <c r="C192" s="16" t="s">
        <v>31</v>
      </c>
      <c r="D192" s="17" t="s">
        <v>618</v>
      </c>
      <c r="E192" s="18" t="s">
        <v>619</v>
      </c>
      <c r="F192" s="7" t="s">
        <v>19</v>
      </c>
      <c r="G192" s="7" t="s">
        <v>55</v>
      </c>
    </row>
    <row r="193" customFormat="false" ht="21.75" hidden="false" customHeight="true" outlineLevel="0" collapsed="false">
      <c r="B193" s="11" t="s">
        <v>620</v>
      </c>
      <c r="C193" s="12" t="s">
        <v>31</v>
      </c>
      <c r="D193" s="13" t="s">
        <v>621</v>
      </c>
      <c r="E193" s="14" t="s">
        <v>622</v>
      </c>
      <c r="F193" s="5" t="s">
        <v>19</v>
      </c>
      <c r="G193" s="5" t="s">
        <v>62</v>
      </c>
    </row>
    <row r="194" customFormat="false" ht="21.75" hidden="false" customHeight="true" outlineLevel="0" collapsed="false">
      <c r="B194" s="15" t="s">
        <v>623</v>
      </c>
      <c r="C194" s="16" t="s">
        <v>31</v>
      </c>
      <c r="D194" s="17" t="s">
        <v>624</v>
      </c>
      <c r="E194" s="18" t="s">
        <v>625</v>
      </c>
      <c r="F194" s="7" t="s">
        <v>19</v>
      </c>
      <c r="G194" s="7" t="s">
        <v>55</v>
      </c>
    </row>
    <row r="195" customFormat="false" ht="21.75" hidden="false" customHeight="true" outlineLevel="0" collapsed="false">
      <c r="B195" s="11" t="s">
        <v>626</v>
      </c>
      <c r="C195" s="12" t="s">
        <v>31</v>
      </c>
      <c r="D195" s="13" t="s">
        <v>627</v>
      </c>
      <c r="E195" s="14" t="s">
        <v>628</v>
      </c>
      <c r="F195" s="5" t="s">
        <v>12</v>
      </c>
      <c r="G195" s="5" t="s">
        <v>229</v>
      </c>
    </row>
    <row r="196" customFormat="false" ht="21.75" hidden="false" customHeight="true" outlineLevel="0" collapsed="false">
      <c r="B196" s="15" t="s">
        <v>629</v>
      </c>
      <c r="C196" s="16" t="s">
        <v>31</v>
      </c>
      <c r="D196" s="17" t="s">
        <v>630</v>
      </c>
      <c r="E196" s="18" t="s">
        <v>631</v>
      </c>
      <c r="F196" s="7" t="s">
        <v>19</v>
      </c>
      <c r="G196" s="7" t="s">
        <v>55</v>
      </c>
    </row>
    <row r="197" customFormat="false" ht="21.75" hidden="false" customHeight="true" outlineLevel="0" collapsed="false">
      <c r="B197" s="11" t="s">
        <v>632</v>
      </c>
      <c r="C197" s="12" t="s">
        <v>31</v>
      </c>
      <c r="D197" s="13" t="s">
        <v>633</v>
      </c>
      <c r="E197" s="14" t="s">
        <v>634</v>
      </c>
      <c r="F197" s="5" t="s">
        <v>12</v>
      </c>
      <c r="G197" s="5" t="s">
        <v>62</v>
      </c>
    </row>
    <row r="198" customFormat="false" ht="21.75" hidden="false" customHeight="true" outlineLevel="0" collapsed="false">
      <c r="B198" s="15" t="s">
        <v>635</v>
      </c>
      <c r="C198" s="16" t="s">
        <v>31</v>
      </c>
      <c r="D198" s="17" t="s">
        <v>636</v>
      </c>
      <c r="E198" s="18" t="s">
        <v>637</v>
      </c>
      <c r="F198" s="7" t="s">
        <v>19</v>
      </c>
      <c r="G198" s="7" t="s">
        <v>123</v>
      </c>
    </row>
    <row r="199" customFormat="false" ht="21.75" hidden="false" customHeight="true" outlineLevel="0" collapsed="false">
      <c r="B199" s="11" t="s">
        <v>638</v>
      </c>
      <c r="C199" s="12" t="s">
        <v>31</v>
      </c>
      <c r="D199" s="13" t="s">
        <v>639</v>
      </c>
      <c r="E199" s="14" t="s">
        <v>640</v>
      </c>
      <c r="F199" s="5" t="s">
        <v>19</v>
      </c>
      <c r="G199" s="5" t="s">
        <v>123</v>
      </c>
    </row>
    <row r="200" customFormat="false" ht="21.75" hidden="false" customHeight="true" outlineLevel="0" collapsed="false">
      <c r="B200" s="15" t="s">
        <v>641</v>
      </c>
      <c r="C200" s="16" t="s">
        <v>31</v>
      </c>
      <c r="D200" s="17" t="s">
        <v>642</v>
      </c>
      <c r="E200" s="18" t="s">
        <v>643</v>
      </c>
      <c r="F200" s="7" t="s">
        <v>19</v>
      </c>
      <c r="G200" s="7" t="s">
        <v>123</v>
      </c>
    </row>
    <row r="201" customFormat="false" ht="21.75" hidden="false" customHeight="true" outlineLevel="0" collapsed="false">
      <c r="B201" s="11" t="s">
        <v>644</v>
      </c>
      <c r="C201" s="12" t="s">
        <v>31</v>
      </c>
      <c r="D201" s="13" t="s">
        <v>645</v>
      </c>
      <c r="E201" s="14" t="s">
        <v>646</v>
      </c>
      <c r="F201" s="5" t="s">
        <v>19</v>
      </c>
      <c r="G201" s="5" t="s">
        <v>55</v>
      </c>
    </row>
    <row r="202" customFormat="false" ht="21.75" hidden="false" customHeight="true" outlineLevel="0" collapsed="false">
      <c r="B202" s="15" t="s">
        <v>647</v>
      </c>
      <c r="C202" s="16" t="s">
        <v>31</v>
      </c>
      <c r="D202" s="17" t="s">
        <v>648</v>
      </c>
      <c r="E202" s="18" t="s">
        <v>649</v>
      </c>
      <c r="F202" s="7" t="s">
        <v>19</v>
      </c>
      <c r="G202" s="7" t="s">
        <v>123</v>
      </c>
    </row>
    <row r="203" customFormat="false" ht="21.75" hidden="false" customHeight="true" outlineLevel="0" collapsed="false">
      <c r="B203" s="11" t="s">
        <v>650</v>
      </c>
      <c r="C203" s="12" t="s">
        <v>31</v>
      </c>
      <c r="D203" s="13" t="s">
        <v>651</v>
      </c>
      <c r="E203" s="14" t="s">
        <v>652</v>
      </c>
      <c r="F203" s="5" t="s">
        <v>19</v>
      </c>
      <c r="G203" s="5" t="s">
        <v>55</v>
      </c>
    </row>
    <row r="204" customFormat="false" ht="21.75" hidden="false" customHeight="true" outlineLevel="0" collapsed="false">
      <c r="B204" s="15" t="s">
        <v>653</v>
      </c>
      <c r="C204" s="16" t="s">
        <v>31</v>
      </c>
      <c r="D204" s="17" t="s">
        <v>654</v>
      </c>
      <c r="E204" s="18" t="s">
        <v>655</v>
      </c>
      <c r="F204" s="7" t="s">
        <v>19</v>
      </c>
      <c r="G204" s="7" t="s">
        <v>123</v>
      </c>
    </row>
    <row r="205" customFormat="false" ht="21.75" hidden="false" customHeight="true" outlineLevel="0" collapsed="false">
      <c r="B205" s="11" t="s">
        <v>656</v>
      </c>
      <c r="C205" s="12" t="s">
        <v>29</v>
      </c>
      <c r="D205" s="13" t="s">
        <v>657</v>
      </c>
      <c r="E205" s="14" t="s">
        <v>658</v>
      </c>
      <c r="F205" s="5" t="s">
        <v>12</v>
      </c>
      <c r="G205" s="5" t="s">
        <v>55</v>
      </c>
    </row>
    <row r="206" customFormat="false" ht="21.75" hidden="false" customHeight="true" outlineLevel="0" collapsed="false">
      <c r="B206" s="15" t="s">
        <v>659</v>
      </c>
      <c r="C206" s="16" t="s">
        <v>29</v>
      </c>
      <c r="D206" s="17" t="s">
        <v>660</v>
      </c>
      <c r="E206" s="18" t="s">
        <v>661</v>
      </c>
      <c r="F206" s="7" t="s">
        <v>19</v>
      </c>
      <c r="G206" s="7" t="s">
        <v>55</v>
      </c>
    </row>
    <row r="207" customFormat="false" ht="21.75" hidden="false" customHeight="true" outlineLevel="0" collapsed="false">
      <c r="B207" s="11" t="s">
        <v>662</v>
      </c>
      <c r="C207" s="12" t="s">
        <v>29</v>
      </c>
      <c r="D207" s="13" t="s">
        <v>663</v>
      </c>
      <c r="E207" s="14" t="s">
        <v>664</v>
      </c>
      <c r="F207" s="5" t="s">
        <v>19</v>
      </c>
      <c r="G207" s="5" t="s">
        <v>123</v>
      </c>
    </row>
    <row r="208" customFormat="false" ht="21.75" hidden="false" customHeight="true" outlineLevel="0" collapsed="false">
      <c r="B208" s="15" t="s">
        <v>665</v>
      </c>
      <c r="C208" s="16" t="s">
        <v>29</v>
      </c>
      <c r="D208" s="17" t="s">
        <v>666</v>
      </c>
      <c r="E208" s="18" t="s">
        <v>667</v>
      </c>
      <c r="F208" s="7" t="s">
        <v>19</v>
      </c>
      <c r="G208" s="7" t="s">
        <v>123</v>
      </c>
    </row>
    <row r="209" customFormat="false" ht="21.75" hidden="false" customHeight="true" outlineLevel="0" collapsed="false">
      <c r="B209" s="11" t="s">
        <v>668</v>
      </c>
      <c r="C209" s="12" t="s">
        <v>29</v>
      </c>
      <c r="D209" s="13" t="s">
        <v>669</v>
      </c>
      <c r="E209" s="14" t="s">
        <v>670</v>
      </c>
      <c r="F209" s="5" t="s">
        <v>19</v>
      </c>
      <c r="G209" s="5" t="s">
        <v>55</v>
      </c>
    </row>
    <row r="210" customFormat="false" ht="21.75" hidden="false" customHeight="true" outlineLevel="0" collapsed="false">
      <c r="B210" s="15" t="s">
        <v>671</v>
      </c>
      <c r="C210" s="16" t="s">
        <v>29</v>
      </c>
      <c r="D210" s="17" t="s">
        <v>672</v>
      </c>
      <c r="E210" s="18" t="s">
        <v>673</v>
      </c>
      <c r="F210" s="7" t="s">
        <v>19</v>
      </c>
      <c r="G210" s="7" t="s">
        <v>55</v>
      </c>
    </row>
    <row r="211" customFormat="false" ht="21.75" hidden="false" customHeight="true" outlineLevel="0" collapsed="false">
      <c r="B211" s="11" t="s">
        <v>674</v>
      </c>
      <c r="C211" s="12" t="s">
        <v>29</v>
      </c>
      <c r="D211" s="13" t="s">
        <v>675</v>
      </c>
      <c r="E211" s="14" t="s">
        <v>676</v>
      </c>
      <c r="F211" s="5" t="s">
        <v>12</v>
      </c>
      <c r="G211" s="5" t="s">
        <v>55</v>
      </c>
    </row>
    <row r="212" customFormat="false" ht="21.75" hidden="false" customHeight="true" outlineLevel="0" collapsed="false">
      <c r="B212" s="15" t="s">
        <v>677</v>
      </c>
      <c r="C212" s="16" t="s">
        <v>29</v>
      </c>
      <c r="D212" s="17" t="s">
        <v>678</v>
      </c>
      <c r="E212" s="18" t="s">
        <v>679</v>
      </c>
      <c r="F212" s="7" t="s">
        <v>12</v>
      </c>
      <c r="G212" s="7" t="s">
        <v>55</v>
      </c>
    </row>
    <row r="213" customFormat="false" ht="21.75" hidden="false" customHeight="true" outlineLevel="0" collapsed="false">
      <c r="B213" s="11" t="s">
        <v>680</v>
      </c>
      <c r="C213" s="12" t="s">
        <v>29</v>
      </c>
      <c r="D213" s="13" t="s">
        <v>681</v>
      </c>
      <c r="E213" s="14" t="s">
        <v>682</v>
      </c>
      <c r="F213" s="5" t="s">
        <v>12</v>
      </c>
      <c r="G213" s="5" t="s">
        <v>62</v>
      </c>
    </row>
    <row r="214" customFormat="false" ht="21.75" hidden="false" customHeight="true" outlineLevel="0" collapsed="false">
      <c r="B214" s="15" t="s">
        <v>683</v>
      </c>
      <c r="C214" s="16" t="s">
        <v>29</v>
      </c>
      <c r="D214" s="17" t="s">
        <v>684</v>
      </c>
      <c r="E214" s="18" t="s">
        <v>685</v>
      </c>
      <c r="F214" s="7" t="s">
        <v>19</v>
      </c>
      <c r="G214" s="7" t="s">
        <v>123</v>
      </c>
    </row>
    <row r="215" customFormat="false" ht="21.75" hidden="false" customHeight="true" outlineLevel="0" collapsed="false">
      <c r="B215" s="11" t="s">
        <v>686</v>
      </c>
      <c r="C215" s="12" t="s">
        <v>29</v>
      </c>
      <c r="D215" s="13" t="s">
        <v>687</v>
      </c>
      <c r="E215" s="14" t="s">
        <v>688</v>
      </c>
      <c r="F215" s="5" t="s">
        <v>19</v>
      </c>
      <c r="G215" s="5" t="s">
        <v>55</v>
      </c>
    </row>
    <row r="216" customFormat="false" ht="21.75" hidden="false" customHeight="true" outlineLevel="0" collapsed="false">
      <c r="B216" s="15" t="s">
        <v>689</v>
      </c>
      <c r="C216" s="16" t="s">
        <v>29</v>
      </c>
      <c r="D216" s="17" t="s">
        <v>690</v>
      </c>
      <c r="E216" s="18" t="s">
        <v>691</v>
      </c>
      <c r="F216" s="7" t="s">
        <v>19</v>
      </c>
      <c r="G216" s="7" t="s">
        <v>55</v>
      </c>
    </row>
    <row r="217" customFormat="false" ht="21.75" hidden="false" customHeight="true" outlineLevel="0" collapsed="false">
      <c r="B217" s="11" t="s">
        <v>692</v>
      </c>
      <c r="C217" s="12" t="s">
        <v>29</v>
      </c>
      <c r="D217" s="13" t="s">
        <v>693</v>
      </c>
      <c r="E217" s="14" t="s">
        <v>694</v>
      </c>
      <c r="F217" s="5" t="s">
        <v>19</v>
      </c>
      <c r="G217" s="5" t="s">
        <v>55</v>
      </c>
    </row>
    <row r="218" customFormat="false" ht="21.75" hidden="false" customHeight="true" outlineLevel="0" collapsed="false">
      <c r="B218" s="15" t="s">
        <v>695</v>
      </c>
      <c r="C218" s="16" t="s">
        <v>29</v>
      </c>
      <c r="D218" s="17" t="s">
        <v>696</v>
      </c>
      <c r="E218" s="18" t="s">
        <v>697</v>
      </c>
      <c r="F218" s="7" t="s">
        <v>19</v>
      </c>
      <c r="G218" s="7" t="s">
        <v>55</v>
      </c>
    </row>
    <row r="219" customFormat="false" ht="21.75" hidden="false" customHeight="true" outlineLevel="0" collapsed="false">
      <c r="B219" s="11" t="s">
        <v>698</v>
      </c>
      <c r="C219" s="12" t="s">
        <v>29</v>
      </c>
      <c r="D219" s="13" t="s">
        <v>699</v>
      </c>
      <c r="E219" s="14" t="s">
        <v>700</v>
      </c>
      <c r="F219" s="5" t="s">
        <v>12</v>
      </c>
      <c r="G219" s="5" t="s">
        <v>62</v>
      </c>
    </row>
    <row r="220" customFormat="false" ht="21.75" hidden="false" customHeight="true" outlineLevel="0" collapsed="false">
      <c r="B220" s="15" t="s">
        <v>701</v>
      </c>
      <c r="C220" s="16" t="s">
        <v>29</v>
      </c>
      <c r="D220" s="17" t="s">
        <v>702</v>
      </c>
      <c r="E220" s="18" t="s">
        <v>703</v>
      </c>
      <c r="F220" s="7" t="s">
        <v>12</v>
      </c>
      <c r="G220" s="7" t="s">
        <v>55</v>
      </c>
    </row>
    <row r="221" customFormat="false" ht="21.75" hidden="false" customHeight="true" outlineLevel="0" collapsed="false">
      <c r="B221" s="11" t="s">
        <v>704</v>
      </c>
      <c r="C221" s="12" t="s">
        <v>29</v>
      </c>
      <c r="D221" s="13" t="s">
        <v>705</v>
      </c>
      <c r="E221" s="14" t="s">
        <v>706</v>
      </c>
      <c r="F221" s="5" t="s">
        <v>19</v>
      </c>
      <c r="G221" s="5" t="s">
        <v>55</v>
      </c>
    </row>
    <row r="222" customFormat="false" ht="21.75" hidden="false" customHeight="true" outlineLevel="0" collapsed="false">
      <c r="B222" s="15" t="s">
        <v>707</v>
      </c>
      <c r="C222" s="16" t="s">
        <v>29</v>
      </c>
      <c r="D222" s="17" t="s">
        <v>708</v>
      </c>
      <c r="E222" s="18" t="s">
        <v>709</v>
      </c>
      <c r="F222" s="7" t="s">
        <v>19</v>
      </c>
      <c r="G222" s="7" t="s">
        <v>55</v>
      </c>
    </row>
    <row r="223" customFormat="false" ht="21.75" hidden="false" customHeight="true" outlineLevel="0" collapsed="false">
      <c r="B223" s="11" t="s">
        <v>710</v>
      </c>
      <c r="C223" s="12" t="s">
        <v>29</v>
      </c>
      <c r="D223" s="13" t="s">
        <v>711</v>
      </c>
      <c r="E223" s="14" t="s">
        <v>712</v>
      </c>
      <c r="F223" s="5" t="s">
        <v>19</v>
      </c>
      <c r="G223" s="5" t="s">
        <v>55</v>
      </c>
    </row>
    <row r="224" customFormat="false" ht="21.75" hidden="false" customHeight="true" outlineLevel="0" collapsed="false">
      <c r="B224" s="15" t="s">
        <v>713</v>
      </c>
      <c r="C224" s="16" t="s">
        <v>29</v>
      </c>
      <c r="D224" s="17" t="s">
        <v>714</v>
      </c>
      <c r="E224" s="18" t="s">
        <v>715</v>
      </c>
      <c r="F224" s="7" t="s">
        <v>12</v>
      </c>
      <c r="G224" s="7" t="s">
        <v>62</v>
      </c>
    </row>
    <row r="225" customFormat="false" ht="21.75" hidden="false" customHeight="true" outlineLevel="0" collapsed="false">
      <c r="B225" s="11" t="s">
        <v>716</v>
      </c>
      <c r="C225" s="12" t="s">
        <v>29</v>
      </c>
      <c r="D225" s="13" t="s">
        <v>717</v>
      </c>
      <c r="E225" s="14" t="s">
        <v>718</v>
      </c>
      <c r="F225" s="5" t="s">
        <v>19</v>
      </c>
      <c r="G225" s="5" t="s">
        <v>123</v>
      </c>
    </row>
    <row r="226" customFormat="false" ht="21.75" hidden="false" customHeight="true" outlineLevel="0" collapsed="false">
      <c r="B226" s="15" t="s">
        <v>719</v>
      </c>
      <c r="C226" s="16" t="s">
        <v>29</v>
      </c>
      <c r="D226" s="17" t="s">
        <v>720</v>
      </c>
      <c r="E226" s="18" t="s">
        <v>721</v>
      </c>
      <c r="F226" s="7" t="s">
        <v>19</v>
      </c>
      <c r="G226" s="7" t="s">
        <v>55</v>
      </c>
    </row>
    <row r="227" customFormat="false" ht="21.75" hidden="false" customHeight="true" outlineLevel="0" collapsed="false">
      <c r="B227" s="11" t="s">
        <v>722</v>
      </c>
      <c r="C227" s="12" t="s">
        <v>29</v>
      </c>
      <c r="D227" s="13" t="s">
        <v>723</v>
      </c>
      <c r="E227" s="14" t="s">
        <v>724</v>
      </c>
      <c r="F227" s="5" t="s">
        <v>19</v>
      </c>
      <c r="G227" s="5" t="s">
        <v>62</v>
      </c>
    </row>
    <row r="228" customFormat="false" ht="21.75" hidden="false" customHeight="true" outlineLevel="0" collapsed="false">
      <c r="B228" s="15" t="s">
        <v>725</v>
      </c>
      <c r="C228" s="16" t="s">
        <v>29</v>
      </c>
      <c r="D228" s="17" t="s">
        <v>726</v>
      </c>
      <c r="E228" s="18" t="s">
        <v>727</v>
      </c>
      <c r="F228" s="7" t="s">
        <v>19</v>
      </c>
      <c r="G228" s="7" t="s">
        <v>123</v>
      </c>
    </row>
    <row r="229" customFormat="false" ht="21.75" hidden="false" customHeight="true" outlineLevel="0" collapsed="false">
      <c r="B229" s="11" t="s">
        <v>728</v>
      </c>
      <c r="C229" s="12" t="s">
        <v>29</v>
      </c>
      <c r="D229" s="13" t="s">
        <v>729</v>
      </c>
      <c r="E229" s="14" t="s">
        <v>730</v>
      </c>
      <c r="F229" s="5" t="s">
        <v>19</v>
      </c>
      <c r="G229" s="5" t="s">
        <v>55</v>
      </c>
    </row>
    <row r="230" customFormat="false" ht="21.75" hidden="false" customHeight="true" outlineLevel="0" collapsed="false">
      <c r="B230" s="15" t="s">
        <v>731</v>
      </c>
      <c r="C230" s="16" t="s">
        <v>28</v>
      </c>
      <c r="D230" s="17" t="s">
        <v>732</v>
      </c>
      <c r="E230" s="18" t="s">
        <v>733</v>
      </c>
      <c r="F230" s="7" t="s">
        <v>12</v>
      </c>
      <c r="G230" s="7" t="s">
        <v>55</v>
      </c>
    </row>
    <row r="231" customFormat="false" ht="21.75" hidden="false" customHeight="true" outlineLevel="0" collapsed="false">
      <c r="B231" s="11" t="s">
        <v>734</v>
      </c>
      <c r="C231" s="12" t="s">
        <v>28</v>
      </c>
      <c r="D231" s="13" t="s">
        <v>735</v>
      </c>
      <c r="E231" s="14" t="s">
        <v>736</v>
      </c>
      <c r="F231" s="5" t="s">
        <v>12</v>
      </c>
      <c r="G231" s="5" t="s">
        <v>123</v>
      </c>
    </row>
    <row r="232" customFormat="false" ht="21.75" hidden="false" customHeight="true" outlineLevel="0" collapsed="false">
      <c r="B232" s="15" t="s">
        <v>737</v>
      </c>
      <c r="C232" s="16" t="s">
        <v>28</v>
      </c>
      <c r="D232" s="17" t="s">
        <v>738</v>
      </c>
      <c r="E232" s="18" t="s">
        <v>739</v>
      </c>
      <c r="F232" s="7" t="s">
        <v>12</v>
      </c>
      <c r="G232" s="7" t="s">
        <v>55</v>
      </c>
    </row>
    <row r="233" customFormat="false" ht="21.75" hidden="false" customHeight="true" outlineLevel="0" collapsed="false">
      <c r="B233" s="11" t="s">
        <v>740</v>
      </c>
      <c r="C233" s="12" t="s">
        <v>28</v>
      </c>
      <c r="D233" s="13" t="s">
        <v>741</v>
      </c>
      <c r="E233" s="14" t="s">
        <v>742</v>
      </c>
      <c r="F233" s="5" t="s">
        <v>19</v>
      </c>
      <c r="G233" s="5" t="s">
        <v>123</v>
      </c>
    </row>
    <row r="234" customFormat="false" ht="21.75" hidden="false" customHeight="true" outlineLevel="0" collapsed="false">
      <c r="B234" s="15" t="s">
        <v>743</v>
      </c>
      <c r="C234" s="16" t="s">
        <v>28</v>
      </c>
      <c r="D234" s="17" t="s">
        <v>744</v>
      </c>
      <c r="E234" s="18" t="s">
        <v>745</v>
      </c>
      <c r="F234" s="7" t="s">
        <v>12</v>
      </c>
      <c r="G234" s="7" t="s">
        <v>55</v>
      </c>
    </row>
    <row r="235" customFormat="false" ht="21.75" hidden="false" customHeight="true" outlineLevel="0" collapsed="false">
      <c r="B235" s="11" t="s">
        <v>746</v>
      </c>
      <c r="C235" s="12" t="s">
        <v>28</v>
      </c>
      <c r="D235" s="13" t="s">
        <v>747</v>
      </c>
      <c r="E235" s="14" t="s">
        <v>748</v>
      </c>
      <c r="F235" s="5" t="s">
        <v>19</v>
      </c>
      <c r="G235" s="5" t="s">
        <v>123</v>
      </c>
    </row>
    <row r="236" customFormat="false" ht="21.75" hidden="false" customHeight="true" outlineLevel="0" collapsed="false">
      <c r="B236" s="15" t="s">
        <v>749</v>
      </c>
      <c r="C236" s="16" t="s">
        <v>28</v>
      </c>
      <c r="D236" s="17" t="s">
        <v>750</v>
      </c>
      <c r="E236" s="18" t="s">
        <v>751</v>
      </c>
      <c r="F236" s="7" t="s">
        <v>19</v>
      </c>
      <c r="G236" s="7" t="s">
        <v>55</v>
      </c>
    </row>
    <row r="237" customFormat="false" ht="21.75" hidden="false" customHeight="true" outlineLevel="0" collapsed="false">
      <c r="B237" s="11" t="s">
        <v>752</v>
      </c>
      <c r="C237" s="12" t="s">
        <v>28</v>
      </c>
      <c r="D237" s="13" t="s">
        <v>753</v>
      </c>
      <c r="E237" s="14" t="s">
        <v>754</v>
      </c>
      <c r="F237" s="5" t="s">
        <v>12</v>
      </c>
      <c r="G237" s="5" t="s">
        <v>55</v>
      </c>
    </row>
    <row r="238" customFormat="false" ht="21.75" hidden="false" customHeight="true" outlineLevel="0" collapsed="false">
      <c r="B238" s="15" t="s">
        <v>755</v>
      </c>
      <c r="C238" s="16" t="s">
        <v>28</v>
      </c>
      <c r="D238" s="17" t="s">
        <v>756</v>
      </c>
      <c r="E238" s="18" t="s">
        <v>757</v>
      </c>
      <c r="F238" s="7" t="s">
        <v>19</v>
      </c>
      <c r="G238" s="7" t="s">
        <v>55</v>
      </c>
    </row>
    <row r="239" customFormat="false" ht="21.75" hidden="false" customHeight="true" outlineLevel="0" collapsed="false">
      <c r="B239" s="11" t="s">
        <v>758</v>
      </c>
      <c r="C239" s="12" t="s">
        <v>28</v>
      </c>
      <c r="D239" s="13" t="s">
        <v>759</v>
      </c>
      <c r="E239" s="14" t="s">
        <v>760</v>
      </c>
      <c r="F239" s="5" t="s">
        <v>20</v>
      </c>
      <c r="G239" s="5" t="s">
        <v>229</v>
      </c>
    </row>
    <row r="240" customFormat="false" ht="21.75" hidden="false" customHeight="true" outlineLevel="0" collapsed="false">
      <c r="B240" s="15" t="s">
        <v>761</v>
      </c>
      <c r="C240" s="16" t="s">
        <v>28</v>
      </c>
      <c r="D240" s="17" t="s">
        <v>762</v>
      </c>
      <c r="E240" s="18" t="s">
        <v>763</v>
      </c>
      <c r="F240" s="7" t="s">
        <v>19</v>
      </c>
      <c r="G240" s="7" t="s">
        <v>62</v>
      </c>
    </row>
    <row r="241" customFormat="false" ht="21.75" hidden="false" customHeight="true" outlineLevel="0" collapsed="false">
      <c r="B241" s="11" t="s">
        <v>764</v>
      </c>
      <c r="C241" s="12" t="s">
        <v>28</v>
      </c>
      <c r="D241" s="13" t="s">
        <v>765</v>
      </c>
      <c r="E241" s="14" t="s">
        <v>766</v>
      </c>
      <c r="F241" s="5" t="s">
        <v>19</v>
      </c>
      <c r="G241" s="5" t="s">
        <v>229</v>
      </c>
    </row>
    <row r="242" customFormat="false" ht="21.75" hidden="false" customHeight="true" outlineLevel="0" collapsed="false">
      <c r="B242" s="15" t="s">
        <v>767</v>
      </c>
      <c r="C242" s="16" t="s">
        <v>28</v>
      </c>
      <c r="D242" s="17" t="s">
        <v>768</v>
      </c>
      <c r="E242" s="18" t="s">
        <v>769</v>
      </c>
      <c r="F242" s="7" t="s">
        <v>19</v>
      </c>
      <c r="G242" s="7" t="s">
        <v>123</v>
      </c>
    </row>
    <row r="243" customFormat="false" ht="21.75" hidden="false" customHeight="true" outlineLevel="0" collapsed="false">
      <c r="B243" s="11" t="s">
        <v>770</v>
      </c>
      <c r="C243" s="12" t="s">
        <v>28</v>
      </c>
      <c r="D243" s="13" t="s">
        <v>771</v>
      </c>
      <c r="E243" s="14" t="s">
        <v>772</v>
      </c>
      <c r="F243" s="5" t="s">
        <v>19</v>
      </c>
      <c r="G243" s="5" t="s">
        <v>55</v>
      </c>
    </row>
    <row r="244" customFormat="false" ht="21.75" hidden="false" customHeight="true" outlineLevel="0" collapsed="false">
      <c r="B244" s="15" t="s">
        <v>773</v>
      </c>
      <c r="C244" s="16" t="s">
        <v>28</v>
      </c>
      <c r="D244" s="17" t="s">
        <v>774</v>
      </c>
      <c r="E244" s="18" t="s">
        <v>775</v>
      </c>
      <c r="F244" s="7" t="s">
        <v>12</v>
      </c>
      <c r="G244" s="7" t="s">
        <v>55</v>
      </c>
    </row>
    <row r="245" customFormat="false" ht="21.75" hidden="false" customHeight="true" outlineLevel="0" collapsed="false">
      <c r="B245" s="11" t="s">
        <v>776</v>
      </c>
      <c r="C245" s="12" t="s">
        <v>28</v>
      </c>
      <c r="D245" s="13" t="s">
        <v>777</v>
      </c>
      <c r="E245" s="14" t="s">
        <v>778</v>
      </c>
      <c r="F245" s="5" t="s">
        <v>12</v>
      </c>
      <c r="G245" s="5" t="s">
        <v>62</v>
      </c>
    </row>
    <row r="246" customFormat="false" ht="21.75" hidden="false" customHeight="true" outlineLevel="0" collapsed="false">
      <c r="B246" s="15" t="s">
        <v>779</v>
      </c>
      <c r="C246" s="16" t="s">
        <v>28</v>
      </c>
      <c r="D246" s="17" t="s">
        <v>780</v>
      </c>
      <c r="E246" s="18" t="s">
        <v>781</v>
      </c>
      <c r="F246" s="7" t="s">
        <v>19</v>
      </c>
      <c r="G246" s="7" t="s">
        <v>123</v>
      </c>
    </row>
    <row r="247" customFormat="false" ht="21.75" hidden="false" customHeight="true" outlineLevel="0" collapsed="false">
      <c r="B247" s="11" t="s">
        <v>782</v>
      </c>
      <c r="C247" s="12" t="s">
        <v>28</v>
      </c>
      <c r="D247" s="13" t="s">
        <v>783</v>
      </c>
      <c r="E247" s="14" t="s">
        <v>784</v>
      </c>
      <c r="F247" s="5" t="s">
        <v>19</v>
      </c>
      <c r="G247" s="5" t="s">
        <v>123</v>
      </c>
    </row>
    <row r="248" customFormat="false" ht="21.75" hidden="false" customHeight="true" outlineLevel="0" collapsed="false">
      <c r="B248" s="15" t="s">
        <v>785</v>
      </c>
      <c r="C248" s="16" t="s">
        <v>28</v>
      </c>
      <c r="D248" s="17" t="s">
        <v>786</v>
      </c>
      <c r="E248" s="18" t="s">
        <v>787</v>
      </c>
      <c r="F248" s="7" t="s">
        <v>19</v>
      </c>
      <c r="G248" s="7" t="s">
        <v>123</v>
      </c>
    </row>
    <row r="249" customFormat="false" ht="21.75" hidden="false" customHeight="true" outlineLevel="0" collapsed="false">
      <c r="B249" s="11" t="s">
        <v>788</v>
      </c>
      <c r="C249" s="12" t="s">
        <v>28</v>
      </c>
      <c r="D249" s="13" t="s">
        <v>789</v>
      </c>
      <c r="E249" s="14" t="s">
        <v>790</v>
      </c>
      <c r="F249" s="5" t="s">
        <v>19</v>
      </c>
      <c r="G249" s="5" t="s">
        <v>123</v>
      </c>
    </row>
    <row r="250" customFormat="false" ht="21.75" hidden="false" customHeight="true" outlineLevel="0" collapsed="false">
      <c r="B250" s="15" t="s">
        <v>791</v>
      </c>
      <c r="C250" s="16" t="s">
        <v>28</v>
      </c>
      <c r="D250" s="17" t="s">
        <v>792</v>
      </c>
      <c r="E250" s="18" t="s">
        <v>793</v>
      </c>
      <c r="F250" s="7" t="s">
        <v>12</v>
      </c>
      <c r="G250" s="7" t="s">
        <v>62</v>
      </c>
    </row>
    <row r="251" customFormat="false" ht="21.75" hidden="false" customHeight="true" outlineLevel="0" collapsed="false">
      <c r="B251" s="11" t="s">
        <v>794</v>
      </c>
      <c r="C251" s="12" t="s">
        <v>28</v>
      </c>
      <c r="D251" s="13" t="s">
        <v>795</v>
      </c>
      <c r="E251" s="14" t="s">
        <v>796</v>
      </c>
      <c r="F251" s="5" t="s">
        <v>19</v>
      </c>
      <c r="G251" s="5" t="s">
        <v>123</v>
      </c>
    </row>
    <row r="252" customFormat="false" ht="21.75" hidden="false" customHeight="true" outlineLevel="0" collapsed="false">
      <c r="B252" s="15" t="s">
        <v>797</v>
      </c>
      <c r="C252" s="16" t="s">
        <v>28</v>
      </c>
      <c r="D252" s="17" t="s">
        <v>798</v>
      </c>
      <c r="E252" s="18" t="s">
        <v>799</v>
      </c>
      <c r="F252" s="7" t="s">
        <v>19</v>
      </c>
      <c r="G252" s="7" t="s">
        <v>55</v>
      </c>
    </row>
    <row r="253" customFormat="false" ht="21.75" hidden="false" customHeight="true" outlineLevel="0" collapsed="false">
      <c r="B253" s="11" t="s">
        <v>800</v>
      </c>
      <c r="C253" s="12" t="s">
        <v>28</v>
      </c>
      <c r="D253" s="13" t="s">
        <v>801</v>
      </c>
      <c r="E253" s="14" t="s">
        <v>802</v>
      </c>
      <c r="F253" s="5" t="s">
        <v>12</v>
      </c>
      <c r="G253" s="5" t="s">
        <v>62</v>
      </c>
    </row>
    <row r="254" customFormat="false" ht="21.75" hidden="false" customHeight="true" outlineLevel="0" collapsed="false">
      <c r="B254" s="15" t="s">
        <v>803</v>
      </c>
      <c r="C254" s="16" t="s">
        <v>28</v>
      </c>
      <c r="D254" s="17" t="s">
        <v>804</v>
      </c>
      <c r="E254" s="18" t="s">
        <v>805</v>
      </c>
      <c r="F254" s="7" t="s">
        <v>19</v>
      </c>
      <c r="G254" s="7" t="s">
        <v>123</v>
      </c>
    </row>
  </sheetData>
  <autoFilter ref="B4:G254"/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62"/>
    <col collapsed="false" customWidth="true" hidden="false" outlineLevel="0" max="6" min="6" style="0" width="11"/>
    <col collapsed="false" customWidth="true" hidden="false" outlineLevel="0" max="7" min="7" style="0" width="1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806</v>
      </c>
      <c r="C2" s="1"/>
      <c r="D2" s="1"/>
      <c r="E2" s="1"/>
      <c r="F2" s="1"/>
      <c r="G2" s="1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48</v>
      </c>
      <c r="C4" s="3" t="s">
        <v>22</v>
      </c>
      <c r="D4" s="3" t="s">
        <v>49</v>
      </c>
      <c r="E4" s="3" t="s">
        <v>50</v>
      </c>
      <c r="F4" s="3" t="s">
        <v>18</v>
      </c>
      <c r="G4" s="3" t="s">
        <v>51</v>
      </c>
    </row>
    <row r="5" customFormat="false" ht="21.75" hidden="false" customHeight="true" outlineLevel="0" collapsed="false">
      <c r="B5" s="11" t="s">
        <v>807</v>
      </c>
      <c r="C5" s="12" t="s">
        <v>35</v>
      </c>
      <c r="D5" s="13" t="s">
        <v>808</v>
      </c>
      <c r="E5" s="14" t="s">
        <v>809</v>
      </c>
      <c r="F5" s="5" t="s">
        <v>12</v>
      </c>
      <c r="G5" s="5" t="s">
        <v>62</v>
      </c>
    </row>
    <row r="6" customFormat="false" ht="21.75" hidden="false" customHeight="true" outlineLevel="0" collapsed="false">
      <c r="B6" s="15" t="s">
        <v>810</v>
      </c>
      <c r="C6" s="16" t="s">
        <v>35</v>
      </c>
      <c r="D6" s="17" t="s">
        <v>811</v>
      </c>
      <c r="E6" s="18" t="s">
        <v>812</v>
      </c>
      <c r="F6" s="7" t="s">
        <v>12</v>
      </c>
      <c r="G6" s="7" t="s">
        <v>62</v>
      </c>
    </row>
    <row r="7" customFormat="false" ht="21.75" hidden="false" customHeight="true" outlineLevel="0" collapsed="false">
      <c r="B7" s="11" t="s">
        <v>813</v>
      </c>
      <c r="C7" s="12" t="s">
        <v>35</v>
      </c>
      <c r="D7" s="13" t="s">
        <v>814</v>
      </c>
      <c r="E7" s="14" t="s">
        <v>815</v>
      </c>
      <c r="F7" s="5" t="s">
        <v>12</v>
      </c>
      <c r="G7" s="5" t="s">
        <v>62</v>
      </c>
    </row>
    <row r="8" customFormat="false" ht="21.75" hidden="false" customHeight="true" outlineLevel="0" collapsed="false">
      <c r="B8" s="15" t="s">
        <v>816</v>
      </c>
      <c r="C8" s="16" t="s">
        <v>35</v>
      </c>
      <c r="D8" s="17" t="s">
        <v>817</v>
      </c>
      <c r="E8" s="18" t="s">
        <v>818</v>
      </c>
      <c r="F8" s="7" t="s">
        <v>12</v>
      </c>
      <c r="G8" s="7" t="s">
        <v>62</v>
      </c>
    </row>
    <row r="9" customFormat="false" ht="21.75" hidden="false" customHeight="true" outlineLevel="0" collapsed="false">
      <c r="B9" s="11" t="s">
        <v>819</v>
      </c>
      <c r="C9" s="12" t="s">
        <v>35</v>
      </c>
      <c r="D9" s="13" t="s">
        <v>820</v>
      </c>
      <c r="E9" s="14" t="s">
        <v>821</v>
      </c>
      <c r="F9" s="5" t="s">
        <v>12</v>
      </c>
      <c r="G9" s="5" t="s">
        <v>55</v>
      </c>
    </row>
    <row r="10" customFormat="false" ht="21.75" hidden="false" customHeight="true" outlineLevel="0" collapsed="false">
      <c r="B10" s="15" t="s">
        <v>822</v>
      </c>
      <c r="C10" s="16" t="s">
        <v>35</v>
      </c>
      <c r="D10" s="17" t="s">
        <v>823</v>
      </c>
      <c r="E10" s="18" t="s">
        <v>824</v>
      </c>
      <c r="F10" s="7" t="s">
        <v>12</v>
      </c>
      <c r="G10" s="7" t="s">
        <v>55</v>
      </c>
    </row>
    <row r="11" customFormat="false" ht="21.75" hidden="false" customHeight="true" outlineLevel="0" collapsed="false">
      <c r="B11" s="11" t="s">
        <v>825</v>
      </c>
      <c r="C11" s="12" t="s">
        <v>35</v>
      </c>
      <c r="D11" s="13" t="s">
        <v>826</v>
      </c>
      <c r="E11" s="14" t="s">
        <v>827</v>
      </c>
      <c r="F11" s="5" t="s">
        <v>12</v>
      </c>
      <c r="G11" s="5" t="s">
        <v>55</v>
      </c>
    </row>
    <row r="12" customFormat="false" ht="21.75" hidden="false" customHeight="true" outlineLevel="0" collapsed="false">
      <c r="B12" s="15" t="s">
        <v>828</v>
      </c>
      <c r="C12" s="16" t="s">
        <v>35</v>
      </c>
      <c r="D12" s="17" t="s">
        <v>829</v>
      </c>
      <c r="E12" s="18" t="s">
        <v>830</v>
      </c>
      <c r="F12" s="7" t="s">
        <v>12</v>
      </c>
      <c r="G12" s="7" t="s">
        <v>62</v>
      </c>
    </row>
    <row r="13" customFormat="false" ht="21.75" hidden="false" customHeight="true" outlineLevel="0" collapsed="false">
      <c r="B13" s="11" t="s">
        <v>831</v>
      </c>
      <c r="C13" s="12" t="s">
        <v>35</v>
      </c>
      <c r="D13" s="13" t="s">
        <v>832</v>
      </c>
      <c r="E13" s="14" t="s">
        <v>833</v>
      </c>
      <c r="F13" s="5" t="s">
        <v>12</v>
      </c>
      <c r="G13" s="5" t="s">
        <v>55</v>
      </c>
    </row>
    <row r="14" customFormat="false" ht="21.75" hidden="false" customHeight="true" outlineLevel="0" collapsed="false">
      <c r="B14" s="15" t="s">
        <v>834</v>
      </c>
      <c r="C14" s="16" t="s">
        <v>35</v>
      </c>
      <c r="D14" s="17" t="s">
        <v>835</v>
      </c>
      <c r="E14" s="18" t="s">
        <v>836</v>
      </c>
      <c r="F14" s="7" t="s">
        <v>12</v>
      </c>
      <c r="G14" s="7" t="s">
        <v>62</v>
      </c>
    </row>
    <row r="15" customFormat="false" ht="21.75" hidden="false" customHeight="true" outlineLevel="0" collapsed="false">
      <c r="B15" s="11" t="s">
        <v>837</v>
      </c>
      <c r="C15" s="12" t="s">
        <v>35</v>
      </c>
      <c r="D15" s="13" t="s">
        <v>838</v>
      </c>
      <c r="E15" s="14" t="s">
        <v>839</v>
      </c>
      <c r="F15" s="5" t="s">
        <v>12</v>
      </c>
      <c r="G15" s="5" t="s">
        <v>55</v>
      </c>
    </row>
    <row r="16" customFormat="false" ht="21.75" hidden="false" customHeight="true" outlineLevel="0" collapsed="false">
      <c r="B16" s="15" t="s">
        <v>840</v>
      </c>
      <c r="C16" s="16" t="s">
        <v>35</v>
      </c>
      <c r="D16" s="17" t="s">
        <v>841</v>
      </c>
      <c r="E16" s="18" t="s">
        <v>842</v>
      </c>
      <c r="F16" s="7" t="s">
        <v>12</v>
      </c>
      <c r="G16" s="7" t="s">
        <v>55</v>
      </c>
    </row>
    <row r="17" customFormat="false" ht="21.75" hidden="false" customHeight="true" outlineLevel="0" collapsed="false">
      <c r="B17" s="11" t="s">
        <v>843</v>
      </c>
      <c r="C17" s="12" t="s">
        <v>35</v>
      </c>
      <c r="D17" s="13" t="s">
        <v>844</v>
      </c>
      <c r="E17" s="14" t="s">
        <v>845</v>
      </c>
      <c r="F17" s="5" t="s">
        <v>19</v>
      </c>
      <c r="G17" s="5" t="s">
        <v>55</v>
      </c>
    </row>
    <row r="18" customFormat="false" ht="21.75" hidden="false" customHeight="true" outlineLevel="0" collapsed="false">
      <c r="B18" s="15" t="s">
        <v>846</v>
      </c>
      <c r="C18" s="16" t="s">
        <v>35</v>
      </c>
      <c r="D18" s="17" t="s">
        <v>847</v>
      </c>
      <c r="E18" s="18" t="s">
        <v>848</v>
      </c>
      <c r="F18" s="7" t="s">
        <v>19</v>
      </c>
      <c r="G18" s="7" t="s">
        <v>55</v>
      </c>
    </row>
    <row r="19" customFormat="false" ht="21.75" hidden="false" customHeight="true" outlineLevel="0" collapsed="false">
      <c r="B19" s="11" t="s">
        <v>849</v>
      </c>
      <c r="C19" s="12" t="s">
        <v>35</v>
      </c>
      <c r="D19" s="13" t="s">
        <v>850</v>
      </c>
      <c r="E19" s="14" t="s">
        <v>851</v>
      </c>
      <c r="F19" s="5" t="s">
        <v>12</v>
      </c>
      <c r="G19" s="5" t="s">
        <v>62</v>
      </c>
    </row>
    <row r="20" customFormat="false" ht="21.75" hidden="false" customHeight="true" outlineLevel="0" collapsed="false">
      <c r="B20" s="15" t="s">
        <v>852</v>
      </c>
      <c r="C20" s="16" t="s">
        <v>35</v>
      </c>
      <c r="D20" s="17" t="s">
        <v>853</v>
      </c>
      <c r="E20" s="18" t="s">
        <v>854</v>
      </c>
      <c r="F20" s="7" t="s">
        <v>12</v>
      </c>
      <c r="G20" s="7" t="s">
        <v>62</v>
      </c>
    </row>
    <row r="21" customFormat="false" ht="21.75" hidden="false" customHeight="true" outlineLevel="0" collapsed="false">
      <c r="B21" s="11" t="s">
        <v>855</v>
      </c>
      <c r="C21" s="12" t="s">
        <v>35</v>
      </c>
      <c r="D21" s="13" t="s">
        <v>856</v>
      </c>
      <c r="E21" s="14" t="s">
        <v>857</v>
      </c>
      <c r="F21" s="5" t="s">
        <v>19</v>
      </c>
      <c r="G21" s="5" t="s">
        <v>55</v>
      </c>
    </row>
    <row r="22" customFormat="false" ht="21.75" hidden="false" customHeight="true" outlineLevel="0" collapsed="false">
      <c r="B22" s="15" t="s">
        <v>858</v>
      </c>
      <c r="C22" s="16" t="s">
        <v>35</v>
      </c>
      <c r="D22" s="17" t="s">
        <v>859</v>
      </c>
      <c r="E22" s="18" t="s">
        <v>860</v>
      </c>
      <c r="F22" s="7" t="s">
        <v>12</v>
      </c>
      <c r="G22" s="7" t="s">
        <v>62</v>
      </c>
    </row>
    <row r="23" customFormat="false" ht="21.75" hidden="false" customHeight="true" outlineLevel="0" collapsed="false">
      <c r="B23" s="11" t="s">
        <v>861</v>
      </c>
      <c r="C23" s="12" t="s">
        <v>35</v>
      </c>
      <c r="D23" s="13" t="s">
        <v>862</v>
      </c>
      <c r="E23" s="14" t="s">
        <v>863</v>
      </c>
      <c r="F23" s="5" t="s">
        <v>12</v>
      </c>
      <c r="G23" s="5" t="s">
        <v>62</v>
      </c>
    </row>
    <row r="24" customFormat="false" ht="21.75" hidden="false" customHeight="true" outlineLevel="0" collapsed="false">
      <c r="B24" s="15" t="s">
        <v>864</v>
      </c>
      <c r="C24" s="16" t="s">
        <v>35</v>
      </c>
      <c r="D24" s="17" t="s">
        <v>865</v>
      </c>
      <c r="E24" s="18" t="s">
        <v>866</v>
      </c>
      <c r="F24" s="7" t="s">
        <v>19</v>
      </c>
      <c r="G24" s="7" t="s">
        <v>55</v>
      </c>
    </row>
    <row r="25" customFormat="false" ht="21.75" hidden="false" customHeight="true" outlineLevel="0" collapsed="false">
      <c r="B25" s="11" t="s">
        <v>867</v>
      </c>
      <c r="C25" s="12" t="s">
        <v>35</v>
      </c>
      <c r="D25" s="13" t="s">
        <v>868</v>
      </c>
      <c r="E25" s="14" t="s">
        <v>869</v>
      </c>
      <c r="F25" s="5" t="s">
        <v>12</v>
      </c>
      <c r="G25" s="5" t="s">
        <v>62</v>
      </c>
    </row>
    <row r="26" customFormat="false" ht="21.75" hidden="false" customHeight="true" outlineLevel="0" collapsed="false">
      <c r="B26" s="15" t="s">
        <v>870</v>
      </c>
      <c r="C26" s="16" t="s">
        <v>35</v>
      </c>
      <c r="D26" s="17" t="s">
        <v>871</v>
      </c>
      <c r="E26" s="18" t="s">
        <v>872</v>
      </c>
      <c r="F26" s="7" t="s">
        <v>12</v>
      </c>
      <c r="G26" s="7" t="s">
        <v>55</v>
      </c>
    </row>
    <row r="27" customFormat="false" ht="21.75" hidden="false" customHeight="true" outlineLevel="0" collapsed="false">
      <c r="B27" s="11" t="s">
        <v>873</v>
      </c>
      <c r="C27" s="12" t="s">
        <v>35</v>
      </c>
      <c r="D27" s="13" t="s">
        <v>874</v>
      </c>
      <c r="E27" s="14" t="s">
        <v>875</v>
      </c>
      <c r="F27" s="5" t="s">
        <v>12</v>
      </c>
      <c r="G27" s="5" t="s">
        <v>229</v>
      </c>
    </row>
    <row r="28" customFormat="false" ht="21.75" hidden="false" customHeight="true" outlineLevel="0" collapsed="false">
      <c r="B28" s="15" t="s">
        <v>876</v>
      </c>
      <c r="C28" s="16" t="s">
        <v>35</v>
      </c>
      <c r="D28" s="17" t="s">
        <v>877</v>
      </c>
      <c r="E28" s="18" t="s">
        <v>878</v>
      </c>
      <c r="F28" s="7" t="s">
        <v>19</v>
      </c>
      <c r="G28" s="7" t="s">
        <v>55</v>
      </c>
    </row>
    <row r="29" customFormat="false" ht="21.75" hidden="false" customHeight="true" outlineLevel="0" collapsed="false">
      <c r="B29" s="11" t="s">
        <v>879</v>
      </c>
      <c r="C29" s="12" t="s">
        <v>35</v>
      </c>
      <c r="D29" s="13" t="s">
        <v>880</v>
      </c>
      <c r="E29" s="14" t="s">
        <v>881</v>
      </c>
      <c r="F29" s="5" t="s">
        <v>19</v>
      </c>
      <c r="G29" s="5" t="s">
        <v>55</v>
      </c>
    </row>
    <row r="30" customFormat="false" ht="21.75" hidden="false" customHeight="true" outlineLevel="0" collapsed="false">
      <c r="B30" s="15" t="s">
        <v>882</v>
      </c>
      <c r="C30" s="16" t="s">
        <v>35</v>
      </c>
      <c r="D30" s="17" t="s">
        <v>883</v>
      </c>
      <c r="E30" s="18" t="s">
        <v>884</v>
      </c>
      <c r="F30" s="7" t="s">
        <v>19</v>
      </c>
      <c r="G30" s="7" t="s">
        <v>55</v>
      </c>
    </row>
    <row r="31" customFormat="false" ht="21.75" hidden="false" customHeight="true" outlineLevel="0" collapsed="false">
      <c r="B31" s="11" t="s">
        <v>885</v>
      </c>
      <c r="C31" s="12" t="s">
        <v>35</v>
      </c>
      <c r="D31" s="13" t="s">
        <v>886</v>
      </c>
      <c r="E31" s="14" t="s">
        <v>887</v>
      </c>
      <c r="F31" s="5" t="s">
        <v>12</v>
      </c>
      <c r="G31" s="5" t="s">
        <v>62</v>
      </c>
    </row>
    <row r="32" customFormat="false" ht="21.75" hidden="false" customHeight="true" outlineLevel="0" collapsed="false">
      <c r="B32" s="15" t="s">
        <v>888</v>
      </c>
      <c r="C32" s="16" t="s">
        <v>35</v>
      </c>
      <c r="D32" s="17" t="s">
        <v>889</v>
      </c>
      <c r="E32" s="18" t="s">
        <v>890</v>
      </c>
      <c r="F32" s="7" t="s">
        <v>12</v>
      </c>
      <c r="G32" s="7" t="s">
        <v>62</v>
      </c>
    </row>
    <row r="33" customFormat="false" ht="21.75" hidden="false" customHeight="true" outlineLevel="0" collapsed="false">
      <c r="B33" s="11" t="s">
        <v>891</v>
      </c>
      <c r="C33" s="12" t="s">
        <v>35</v>
      </c>
      <c r="D33" s="13" t="s">
        <v>892</v>
      </c>
      <c r="E33" s="14" t="s">
        <v>893</v>
      </c>
      <c r="F33" s="5" t="s">
        <v>12</v>
      </c>
      <c r="G33" s="5" t="s">
        <v>229</v>
      </c>
    </row>
    <row r="34" customFormat="false" ht="21.75" hidden="false" customHeight="true" outlineLevel="0" collapsed="false">
      <c r="B34" s="15" t="s">
        <v>894</v>
      </c>
      <c r="C34" s="16" t="s">
        <v>35</v>
      </c>
      <c r="D34" s="17" t="s">
        <v>895</v>
      </c>
      <c r="E34" s="18" t="s">
        <v>896</v>
      </c>
      <c r="F34" s="7" t="s">
        <v>19</v>
      </c>
      <c r="G34" s="7" t="s">
        <v>55</v>
      </c>
    </row>
    <row r="35" customFormat="false" ht="21.75" hidden="false" customHeight="true" outlineLevel="0" collapsed="false">
      <c r="B35" s="11" t="s">
        <v>897</v>
      </c>
      <c r="C35" s="12" t="s">
        <v>35</v>
      </c>
      <c r="D35" s="13" t="s">
        <v>898</v>
      </c>
      <c r="E35" s="14" t="s">
        <v>899</v>
      </c>
      <c r="F35" s="5" t="s">
        <v>12</v>
      </c>
      <c r="G35" s="5" t="s">
        <v>229</v>
      </c>
    </row>
    <row r="36" customFormat="false" ht="21.75" hidden="false" customHeight="true" outlineLevel="0" collapsed="false">
      <c r="B36" s="15" t="s">
        <v>900</v>
      </c>
      <c r="C36" s="16" t="s">
        <v>35</v>
      </c>
      <c r="D36" s="17" t="s">
        <v>901</v>
      </c>
      <c r="E36" s="18" t="s">
        <v>902</v>
      </c>
      <c r="F36" s="7" t="s">
        <v>12</v>
      </c>
      <c r="G36" s="7" t="s">
        <v>62</v>
      </c>
    </row>
    <row r="37" customFormat="false" ht="21.75" hidden="false" customHeight="true" outlineLevel="0" collapsed="false">
      <c r="B37" s="11" t="s">
        <v>903</v>
      </c>
      <c r="C37" s="12" t="s">
        <v>35</v>
      </c>
      <c r="D37" s="13" t="s">
        <v>904</v>
      </c>
      <c r="E37" s="14" t="s">
        <v>905</v>
      </c>
      <c r="F37" s="5" t="s">
        <v>20</v>
      </c>
      <c r="G37" s="5" t="s">
        <v>62</v>
      </c>
    </row>
    <row r="38" customFormat="false" ht="21.75" hidden="false" customHeight="true" outlineLevel="0" collapsed="false">
      <c r="B38" s="15" t="s">
        <v>906</v>
      </c>
      <c r="C38" s="16" t="s">
        <v>35</v>
      </c>
      <c r="D38" s="17" t="s">
        <v>907</v>
      </c>
      <c r="E38" s="18" t="s">
        <v>908</v>
      </c>
      <c r="F38" s="7" t="s">
        <v>12</v>
      </c>
      <c r="G38" s="7" t="s">
        <v>62</v>
      </c>
    </row>
    <row r="39" customFormat="false" ht="21.75" hidden="false" customHeight="true" outlineLevel="0" collapsed="false">
      <c r="B39" s="11" t="s">
        <v>909</v>
      </c>
      <c r="C39" s="12" t="s">
        <v>35</v>
      </c>
      <c r="D39" s="13" t="s">
        <v>910</v>
      </c>
      <c r="E39" s="14" t="s">
        <v>911</v>
      </c>
      <c r="F39" s="5" t="s">
        <v>19</v>
      </c>
      <c r="G39" s="5" t="s">
        <v>55</v>
      </c>
    </row>
    <row r="40" customFormat="false" ht="21.75" hidden="false" customHeight="true" outlineLevel="0" collapsed="false">
      <c r="B40" s="15" t="s">
        <v>912</v>
      </c>
      <c r="C40" s="16" t="s">
        <v>35</v>
      </c>
      <c r="D40" s="17" t="s">
        <v>913</v>
      </c>
      <c r="E40" s="18" t="s">
        <v>914</v>
      </c>
      <c r="F40" s="7" t="s">
        <v>19</v>
      </c>
      <c r="G40" s="7" t="s">
        <v>55</v>
      </c>
    </row>
    <row r="41" customFormat="false" ht="21.75" hidden="false" customHeight="true" outlineLevel="0" collapsed="false">
      <c r="B41" s="11" t="s">
        <v>915</v>
      </c>
      <c r="C41" s="12" t="s">
        <v>35</v>
      </c>
      <c r="D41" s="13" t="s">
        <v>916</v>
      </c>
      <c r="E41" s="14" t="s">
        <v>917</v>
      </c>
      <c r="F41" s="5" t="s">
        <v>12</v>
      </c>
      <c r="G41" s="5" t="s">
        <v>62</v>
      </c>
    </row>
    <row r="42" customFormat="false" ht="21.75" hidden="false" customHeight="true" outlineLevel="0" collapsed="false">
      <c r="B42" s="15" t="s">
        <v>918</v>
      </c>
      <c r="C42" s="16" t="s">
        <v>35</v>
      </c>
      <c r="D42" s="17" t="s">
        <v>919</v>
      </c>
      <c r="E42" s="18" t="s">
        <v>920</v>
      </c>
      <c r="F42" s="7" t="s">
        <v>20</v>
      </c>
      <c r="G42" s="7" t="s">
        <v>229</v>
      </c>
    </row>
    <row r="43" customFormat="false" ht="21.75" hidden="false" customHeight="true" outlineLevel="0" collapsed="false">
      <c r="B43" s="11" t="s">
        <v>921</v>
      </c>
      <c r="C43" s="12" t="s">
        <v>35</v>
      </c>
      <c r="D43" s="13" t="s">
        <v>922</v>
      </c>
      <c r="E43" s="14" t="s">
        <v>923</v>
      </c>
      <c r="F43" s="5" t="s">
        <v>12</v>
      </c>
      <c r="G43" s="5" t="s">
        <v>62</v>
      </c>
    </row>
    <row r="44" customFormat="false" ht="21.75" hidden="false" customHeight="true" outlineLevel="0" collapsed="false">
      <c r="B44" s="15" t="s">
        <v>924</v>
      </c>
      <c r="C44" s="16" t="s">
        <v>35</v>
      </c>
      <c r="D44" s="17" t="s">
        <v>925</v>
      </c>
      <c r="E44" s="18" t="s">
        <v>926</v>
      </c>
      <c r="F44" s="7" t="s">
        <v>19</v>
      </c>
      <c r="G44" s="7" t="s">
        <v>55</v>
      </c>
    </row>
    <row r="45" customFormat="false" ht="21.75" hidden="false" customHeight="true" outlineLevel="0" collapsed="false">
      <c r="B45" s="11" t="s">
        <v>927</v>
      </c>
      <c r="C45" s="12" t="s">
        <v>33</v>
      </c>
      <c r="D45" s="13" t="s">
        <v>928</v>
      </c>
      <c r="E45" s="14" t="s">
        <v>929</v>
      </c>
      <c r="F45" s="5" t="s">
        <v>19</v>
      </c>
      <c r="G45" s="5" t="s">
        <v>55</v>
      </c>
    </row>
    <row r="46" customFormat="false" ht="21.75" hidden="false" customHeight="true" outlineLevel="0" collapsed="false">
      <c r="B46" s="15" t="s">
        <v>930</v>
      </c>
      <c r="C46" s="16" t="s">
        <v>33</v>
      </c>
      <c r="D46" s="17" t="s">
        <v>931</v>
      </c>
      <c r="E46" s="18" t="s">
        <v>932</v>
      </c>
      <c r="F46" s="7" t="s">
        <v>19</v>
      </c>
      <c r="G46" s="7" t="s">
        <v>123</v>
      </c>
    </row>
    <row r="47" customFormat="false" ht="21.75" hidden="false" customHeight="true" outlineLevel="0" collapsed="false">
      <c r="B47" s="11" t="s">
        <v>933</v>
      </c>
      <c r="C47" s="12" t="s">
        <v>33</v>
      </c>
      <c r="D47" s="13" t="s">
        <v>934</v>
      </c>
      <c r="E47" s="14" t="s">
        <v>935</v>
      </c>
      <c r="F47" s="5" t="s">
        <v>19</v>
      </c>
      <c r="G47" s="5" t="s">
        <v>123</v>
      </c>
    </row>
    <row r="48" customFormat="false" ht="21.75" hidden="false" customHeight="true" outlineLevel="0" collapsed="false">
      <c r="B48" s="15" t="s">
        <v>936</v>
      </c>
      <c r="C48" s="16" t="s">
        <v>33</v>
      </c>
      <c r="D48" s="17" t="s">
        <v>937</v>
      </c>
      <c r="E48" s="18" t="s">
        <v>938</v>
      </c>
      <c r="F48" s="7" t="s">
        <v>19</v>
      </c>
      <c r="G48" s="7" t="s">
        <v>55</v>
      </c>
    </row>
    <row r="49" customFormat="false" ht="21.75" hidden="false" customHeight="true" outlineLevel="0" collapsed="false">
      <c r="B49" s="11" t="s">
        <v>939</v>
      </c>
      <c r="C49" s="12" t="s">
        <v>33</v>
      </c>
      <c r="D49" s="13" t="s">
        <v>940</v>
      </c>
      <c r="E49" s="14" t="s">
        <v>941</v>
      </c>
      <c r="F49" s="5" t="s">
        <v>19</v>
      </c>
      <c r="G49" s="5" t="s">
        <v>55</v>
      </c>
    </row>
    <row r="50" customFormat="false" ht="21.75" hidden="false" customHeight="true" outlineLevel="0" collapsed="false">
      <c r="B50" s="15" t="s">
        <v>942</v>
      </c>
      <c r="C50" s="16" t="s">
        <v>33</v>
      </c>
      <c r="D50" s="17" t="s">
        <v>943</v>
      </c>
      <c r="E50" s="18" t="s">
        <v>944</v>
      </c>
      <c r="F50" s="7" t="s">
        <v>19</v>
      </c>
      <c r="G50" s="7" t="s">
        <v>62</v>
      </c>
    </row>
    <row r="51" customFormat="false" ht="21.75" hidden="false" customHeight="true" outlineLevel="0" collapsed="false">
      <c r="B51" s="11" t="s">
        <v>945</v>
      </c>
      <c r="C51" s="12" t="s">
        <v>33</v>
      </c>
      <c r="D51" s="13" t="s">
        <v>946</v>
      </c>
      <c r="E51" s="14" t="s">
        <v>947</v>
      </c>
      <c r="F51" s="5" t="s">
        <v>19</v>
      </c>
      <c r="G51" s="5" t="s">
        <v>123</v>
      </c>
    </row>
    <row r="52" customFormat="false" ht="21.75" hidden="false" customHeight="true" outlineLevel="0" collapsed="false">
      <c r="B52" s="15" t="s">
        <v>948</v>
      </c>
      <c r="C52" s="16" t="s">
        <v>33</v>
      </c>
      <c r="D52" s="17" t="s">
        <v>949</v>
      </c>
      <c r="E52" s="18" t="s">
        <v>950</v>
      </c>
      <c r="F52" s="7" t="s">
        <v>19</v>
      </c>
      <c r="G52" s="7" t="s">
        <v>55</v>
      </c>
    </row>
    <row r="53" customFormat="false" ht="21.75" hidden="false" customHeight="true" outlineLevel="0" collapsed="false">
      <c r="B53" s="11" t="s">
        <v>951</v>
      </c>
      <c r="C53" s="12" t="s">
        <v>33</v>
      </c>
      <c r="D53" s="13" t="s">
        <v>952</v>
      </c>
      <c r="E53" s="14" t="s">
        <v>953</v>
      </c>
      <c r="F53" s="5" t="s">
        <v>19</v>
      </c>
      <c r="G53" s="5" t="s">
        <v>62</v>
      </c>
    </row>
    <row r="54" customFormat="false" ht="21.75" hidden="false" customHeight="true" outlineLevel="0" collapsed="false">
      <c r="B54" s="15" t="s">
        <v>954</v>
      </c>
      <c r="C54" s="16" t="s">
        <v>33</v>
      </c>
      <c r="D54" s="17" t="s">
        <v>955</v>
      </c>
      <c r="E54" s="18" t="s">
        <v>956</v>
      </c>
      <c r="F54" s="7" t="s">
        <v>19</v>
      </c>
      <c r="G54" s="7" t="s">
        <v>55</v>
      </c>
    </row>
    <row r="55" customFormat="false" ht="21.75" hidden="false" customHeight="true" outlineLevel="0" collapsed="false">
      <c r="B55" s="11" t="s">
        <v>957</v>
      </c>
      <c r="C55" s="12" t="s">
        <v>33</v>
      </c>
      <c r="D55" s="13" t="s">
        <v>958</v>
      </c>
      <c r="E55" s="14" t="s">
        <v>959</v>
      </c>
      <c r="F55" s="5" t="s">
        <v>19</v>
      </c>
      <c r="G55" s="5" t="s">
        <v>123</v>
      </c>
    </row>
    <row r="56" customFormat="false" ht="21.75" hidden="false" customHeight="true" outlineLevel="0" collapsed="false">
      <c r="B56" s="15" t="s">
        <v>960</v>
      </c>
      <c r="C56" s="16" t="s">
        <v>33</v>
      </c>
      <c r="D56" s="17" t="s">
        <v>961</v>
      </c>
      <c r="E56" s="18" t="s">
        <v>962</v>
      </c>
      <c r="F56" s="7" t="s">
        <v>19</v>
      </c>
      <c r="G56" s="7" t="s">
        <v>55</v>
      </c>
    </row>
    <row r="57" customFormat="false" ht="21.75" hidden="false" customHeight="true" outlineLevel="0" collapsed="false">
      <c r="B57" s="11" t="s">
        <v>963</v>
      </c>
      <c r="C57" s="12" t="s">
        <v>33</v>
      </c>
      <c r="D57" s="13" t="s">
        <v>964</v>
      </c>
      <c r="E57" s="14" t="s">
        <v>965</v>
      </c>
      <c r="F57" s="5" t="s">
        <v>19</v>
      </c>
      <c r="G57" s="5" t="s">
        <v>123</v>
      </c>
    </row>
    <row r="58" customFormat="false" ht="21.75" hidden="false" customHeight="true" outlineLevel="0" collapsed="false">
      <c r="B58" s="15" t="s">
        <v>966</v>
      </c>
      <c r="C58" s="16" t="s">
        <v>33</v>
      </c>
      <c r="D58" s="17" t="s">
        <v>967</v>
      </c>
      <c r="E58" s="18" t="s">
        <v>968</v>
      </c>
      <c r="F58" s="7" t="s">
        <v>19</v>
      </c>
      <c r="G58" s="7" t="s">
        <v>229</v>
      </c>
    </row>
    <row r="59" customFormat="false" ht="21.75" hidden="false" customHeight="true" outlineLevel="0" collapsed="false">
      <c r="B59" s="11" t="s">
        <v>969</v>
      </c>
      <c r="C59" s="12" t="s">
        <v>33</v>
      </c>
      <c r="D59" s="13" t="s">
        <v>970</v>
      </c>
      <c r="E59" s="14" t="s">
        <v>971</v>
      </c>
      <c r="F59" s="5" t="s">
        <v>19</v>
      </c>
      <c r="G59" s="5" t="s">
        <v>123</v>
      </c>
    </row>
    <row r="60" customFormat="false" ht="21.75" hidden="false" customHeight="true" outlineLevel="0" collapsed="false">
      <c r="B60" s="15" t="s">
        <v>972</v>
      </c>
      <c r="C60" s="16" t="s">
        <v>33</v>
      </c>
      <c r="D60" s="17" t="s">
        <v>973</v>
      </c>
      <c r="E60" s="18" t="s">
        <v>974</v>
      </c>
      <c r="F60" s="7" t="s">
        <v>19</v>
      </c>
      <c r="G60" s="7" t="s">
        <v>55</v>
      </c>
    </row>
    <row r="61" customFormat="false" ht="21.75" hidden="false" customHeight="true" outlineLevel="0" collapsed="false">
      <c r="B61" s="11" t="s">
        <v>975</v>
      </c>
      <c r="C61" s="12" t="s">
        <v>33</v>
      </c>
      <c r="D61" s="13" t="s">
        <v>976</v>
      </c>
      <c r="E61" s="14" t="s">
        <v>977</v>
      </c>
      <c r="F61" s="5" t="s">
        <v>19</v>
      </c>
      <c r="G61" s="5" t="s">
        <v>62</v>
      </c>
    </row>
    <row r="62" customFormat="false" ht="21.75" hidden="false" customHeight="true" outlineLevel="0" collapsed="false">
      <c r="B62" s="15" t="s">
        <v>978</v>
      </c>
      <c r="C62" s="16" t="s">
        <v>33</v>
      </c>
      <c r="D62" s="17" t="s">
        <v>979</v>
      </c>
      <c r="E62" s="18" t="s">
        <v>980</v>
      </c>
      <c r="F62" s="7" t="s">
        <v>19</v>
      </c>
      <c r="G62" s="7" t="s">
        <v>55</v>
      </c>
    </row>
    <row r="63" customFormat="false" ht="21.75" hidden="false" customHeight="true" outlineLevel="0" collapsed="false">
      <c r="B63" s="11" t="s">
        <v>981</v>
      </c>
      <c r="C63" s="12" t="s">
        <v>33</v>
      </c>
      <c r="D63" s="13" t="s">
        <v>982</v>
      </c>
      <c r="E63" s="14" t="s">
        <v>983</v>
      </c>
      <c r="F63" s="5" t="s">
        <v>19</v>
      </c>
      <c r="G63" s="5" t="s">
        <v>123</v>
      </c>
    </row>
    <row r="64" customFormat="false" ht="21.75" hidden="false" customHeight="true" outlineLevel="0" collapsed="false">
      <c r="B64" s="15" t="s">
        <v>984</v>
      </c>
      <c r="C64" s="16" t="s">
        <v>33</v>
      </c>
      <c r="D64" s="17" t="s">
        <v>985</v>
      </c>
      <c r="E64" s="18" t="s">
        <v>986</v>
      </c>
      <c r="F64" s="7" t="s">
        <v>19</v>
      </c>
      <c r="G64" s="7" t="s">
        <v>123</v>
      </c>
    </row>
    <row r="65" customFormat="false" ht="21.75" hidden="false" customHeight="true" outlineLevel="0" collapsed="false">
      <c r="B65" s="11" t="s">
        <v>987</v>
      </c>
      <c r="C65" s="12" t="s">
        <v>33</v>
      </c>
      <c r="D65" s="13" t="s">
        <v>988</v>
      </c>
      <c r="E65" s="14" t="s">
        <v>989</v>
      </c>
      <c r="F65" s="5" t="s">
        <v>19</v>
      </c>
      <c r="G65" s="5" t="s">
        <v>55</v>
      </c>
    </row>
    <row r="66" customFormat="false" ht="21.75" hidden="false" customHeight="true" outlineLevel="0" collapsed="false">
      <c r="B66" s="15" t="s">
        <v>990</v>
      </c>
      <c r="C66" s="16" t="s">
        <v>33</v>
      </c>
      <c r="D66" s="17" t="s">
        <v>991</v>
      </c>
      <c r="E66" s="18" t="s">
        <v>992</v>
      </c>
      <c r="F66" s="7" t="s">
        <v>19</v>
      </c>
      <c r="G66" s="7" t="s">
        <v>55</v>
      </c>
    </row>
    <row r="67" customFormat="false" ht="21.75" hidden="false" customHeight="true" outlineLevel="0" collapsed="false">
      <c r="B67" s="11" t="s">
        <v>993</v>
      </c>
      <c r="C67" s="12" t="s">
        <v>33</v>
      </c>
      <c r="D67" s="13" t="s">
        <v>994</v>
      </c>
      <c r="E67" s="14" t="s">
        <v>995</v>
      </c>
      <c r="F67" s="5" t="s">
        <v>19</v>
      </c>
      <c r="G67" s="5" t="s">
        <v>55</v>
      </c>
    </row>
    <row r="68" customFormat="false" ht="21.75" hidden="false" customHeight="true" outlineLevel="0" collapsed="false">
      <c r="B68" s="15" t="s">
        <v>996</v>
      </c>
      <c r="C68" s="16" t="s">
        <v>33</v>
      </c>
      <c r="D68" s="17" t="s">
        <v>997</v>
      </c>
      <c r="E68" s="18" t="s">
        <v>998</v>
      </c>
      <c r="F68" s="7" t="s">
        <v>19</v>
      </c>
      <c r="G68" s="7" t="s">
        <v>55</v>
      </c>
    </row>
    <row r="69" customFormat="false" ht="21.75" hidden="false" customHeight="true" outlineLevel="0" collapsed="false">
      <c r="B69" s="11" t="s">
        <v>999</v>
      </c>
      <c r="C69" s="12" t="s">
        <v>33</v>
      </c>
      <c r="D69" s="13" t="s">
        <v>1000</v>
      </c>
      <c r="E69" s="14" t="s">
        <v>1001</v>
      </c>
      <c r="F69" s="5" t="s">
        <v>12</v>
      </c>
      <c r="G69" s="5" t="s">
        <v>62</v>
      </c>
    </row>
    <row r="70" customFormat="false" ht="21.75" hidden="false" customHeight="true" outlineLevel="0" collapsed="false">
      <c r="B70" s="15" t="s">
        <v>1002</v>
      </c>
      <c r="C70" s="16" t="s">
        <v>33</v>
      </c>
      <c r="D70" s="17" t="s">
        <v>1003</v>
      </c>
      <c r="E70" s="18" t="s">
        <v>1004</v>
      </c>
      <c r="F70" s="7" t="s">
        <v>19</v>
      </c>
      <c r="G70" s="7" t="s">
        <v>123</v>
      </c>
    </row>
    <row r="71" customFormat="false" ht="21.75" hidden="false" customHeight="true" outlineLevel="0" collapsed="false">
      <c r="B71" s="11" t="s">
        <v>1005</v>
      </c>
      <c r="C71" s="12" t="s">
        <v>33</v>
      </c>
      <c r="D71" s="13" t="s">
        <v>1006</v>
      </c>
      <c r="E71" s="14" t="s">
        <v>1007</v>
      </c>
      <c r="F71" s="5" t="s">
        <v>19</v>
      </c>
      <c r="G71" s="5" t="s">
        <v>123</v>
      </c>
    </row>
    <row r="72" customFormat="false" ht="21.75" hidden="false" customHeight="true" outlineLevel="0" collapsed="false">
      <c r="B72" s="15" t="s">
        <v>1008</v>
      </c>
      <c r="C72" s="16" t="s">
        <v>33</v>
      </c>
      <c r="D72" s="17" t="s">
        <v>1009</v>
      </c>
      <c r="E72" s="18" t="s">
        <v>1010</v>
      </c>
      <c r="F72" s="7" t="s">
        <v>19</v>
      </c>
      <c r="G72" s="7" t="s">
        <v>123</v>
      </c>
    </row>
    <row r="73" customFormat="false" ht="21.75" hidden="false" customHeight="true" outlineLevel="0" collapsed="false">
      <c r="B73" s="11" t="s">
        <v>1011</v>
      </c>
      <c r="C73" s="12" t="s">
        <v>33</v>
      </c>
      <c r="D73" s="13" t="s">
        <v>1012</v>
      </c>
      <c r="E73" s="14" t="s">
        <v>1013</v>
      </c>
      <c r="F73" s="5" t="s">
        <v>19</v>
      </c>
      <c r="G73" s="5" t="s">
        <v>123</v>
      </c>
    </row>
    <row r="74" customFormat="false" ht="21.75" hidden="false" customHeight="true" outlineLevel="0" collapsed="false">
      <c r="B74" s="15" t="s">
        <v>1014</v>
      </c>
      <c r="C74" s="16" t="s">
        <v>33</v>
      </c>
      <c r="D74" s="17" t="s">
        <v>1015</v>
      </c>
      <c r="E74" s="18" t="s">
        <v>1016</v>
      </c>
      <c r="F74" s="7" t="s">
        <v>19</v>
      </c>
      <c r="G74" s="7" t="s">
        <v>55</v>
      </c>
    </row>
    <row r="75" customFormat="false" ht="21.75" hidden="false" customHeight="true" outlineLevel="0" collapsed="false">
      <c r="B75" s="11" t="s">
        <v>1017</v>
      </c>
      <c r="C75" s="12" t="s">
        <v>33</v>
      </c>
      <c r="D75" s="13" t="s">
        <v>1018</v>
      </c>
      <c r="E75" s="14" t="s">
        <v>1019</v>
      </c>
      <c r="F75" s="5" t="s">
        <v>19</v>
      </c>
      <c r="G75" s="5" t="s">
        <v>123</v>
      </c>
    </row>
    <row r="76" customFormat="false" ht="21.75" hidden="false" customHeight="true" outlineLevel="0" collapsed="false">
      <c r="B76" s="15" t="s">
        <v>1020</v>
      </c>
      <c r="C76" s="16" t="s">
        <v>33</v>
      </c>
      <c r="D76" s="17" t="s">
        <v>1021</v>
      </c>
      <c r="E76" s="18" t="s">
        <v>1022</v>
      </c>
      <c r="F76" s="7" t="s">
        <v>19</v>
      </c>
      <c r="G76" s="7" t="s">
        <v>123</v>
      </c>
    </row>
    <row r="77" customFormat="false" ht="21.75" hidden="false" customHeight="true" outlineLevel="0" collapsed="false">
      <c r="B77" s="11" t="s">
        <v>1023</v>
      </c>
      <c r="C77" s="12" t="s">
        <v>33</v>
      </c>
      <c r="D77" s="13" t="s">
        <v>1024</v>
      </c>
      <c r="E77" s="14" t="s">
        <v>1025</v>
      </c>
      <c r="F77" s="5" t="s">
        <v>19</v>
      </c>
      <c r="G77" s="5" t="s">
        <v>55</v>
      </c>
    </row>
    <row r="78" customFormat="false" ht="21.75" hidden="false" customHeight="true" outlineLevel="0" collapsed="false">
      <c r="B78" s="15" t="s">
        <v>1026</v>
      </c>
      <c r="C78" s="16" t="s">
        <v>33</v>
      </c>
      <c r="D78" s="17" t="s">
        <v>1027</v>
      </c>
      <c r="E78" s="18" t="s">
        <v>1028</v>
      </c>
      <c r="F78" s="7" t="s">
        <v>19</v>
      </c>
      <c r="G78" s="7" t="s">
        <v>229</v>
      </c>
    </row>
    <row r="79" customFormat="false" ht="21.75" hidden="false" customHeight="true" outlineLevel="0" collapsed="false">
      <c r="B79" s="11" t="s">
        <v>1029</v>
      </c>
      <c r="C79" s="12" t="s">
        <v>33</v>
      </c>
      <c r="D79" s="13" t="s">
        <v>1030</v>
      </c>
      <c r="E79" s="14" t="s">
        <v>1031</v>
      </c>
      <c r="F79" s="5" t="s">
        <v>19</v>
      </c>
      <c r="G79" s="5" t="s">
        <v>123</v>
      </c>
    </row>
    <row r="80" customFormat="false" ht="21.75" hidden="false" customHeight="true" outlineLevel="0" collapsed="false">
      <c r="B80" s="15" t="s">
        <v>1032</v>
      </c>
      <c r="C80" s="16" t="s">
        <v>33</v>
      </c>
      <c r="D80" s="17" t="s">
        <v>1033</v>
      </c>
      <c r="E80" s="18" t="s">
        <v>1034</v>
      </c>
      <c r="F80" s="7" t="s">
        <v>19</v>
      </c>
      <c r="G80" s="7" t="s">
        <v>62</v>
      </c>
    </row>
    <row r="81" customFormat="false" ht="21.75" hidden="false" customHeight="true" outlineLevel="0" collapsed="false">
      <c r="B81" s="11" t="s">
        <v>1035</v>
      </c>
      <c r="C81" s="12" t="s">
        <v>33</v>
      </c>
      <c r="D81" s="13" t="s">
        <v>1036</v>
      </c>
      <c r="E81" s="14" t="s">
        <v>1037</v>
      </c>
      <c r="F81" s="5" t="s">
        <v>19</v>
      </c>
      <c r="G81" s="5" t="s">
        <v>55</v>
      </c>
    </row>
    <row r="82" customFormat="false" ht="21.75" hidden="false" customHeight="true" outlineLevel="0" collapsed="false">
      <c r="B82" s="15" t="s">
        <v>1038</v>
      </c>
      <c r="C82" s="16" t="s">
        <v>33</v>
      </c>
      <c r="D82" s="17" t="s">
        <v>1039</v>
      </c>
      <c r="E82" s="18" t="s">
        <v>1040</v>
      </c>
      <c r="F82" s="7" t="s">
        <v>19</v>
      </c>
      <c r="G82" s="7" t="s">
        <v>62</v>
      </c>
    </row>
    <row r="83" customFormat="false" ht="21.75" hidden="false" customHeight="true" outlineLevel="0" collapsed="false">
      <c r="B83" s="11" t="s">
        <v>1041</v>
      </c>
      <c r="C83" s="12" t="s">
        <v>33</v>
      </c>
      <c r="D83" s="13" t="s">
        <v>1042</v>
      </c>
      <c r="E83" s="14" t="s">
        <v>1043</v>
      </c>
      <c r="F83" s="5" t="s">
        <v>19</v>
      </c>
      <c r="G83" s="5" t="s">
        <v>123</v>
      </c>
    </row>
    <row r="84" customFormat="false" ht="21.75" hidden="false" customHeight="true" outlineLevel="0" collapsed="false">
      <c r="B84" s="15" t="s">
        <v>1044</v>
      </c>
      <c r="C84" s="16" t="s">
        <v>33</v>
      </c>
      <c r="D84" s="17" t="s">
        <v>1045</v>
      </c>
      <c r="E84" s="18" t="s">
        <v>1046</v>
      </c>
      <c r="F84" s="7" t="s">
        <v>19</v>
      </c>
      <c r="G84" s="7" t="s">
        <v>55</v>
      </c>
    </row>
    <row r="85" customFormat="false" ht="21.75" hidden="false" customHeight="true" outlineLevel="0" collapsed="false">
      <c r="B85" s="11" t="s">
        <v>1047</v>
      </c>
      <c r="C85" s="12" t="s">
        <v>37</v>
      </c>
      <c r="D85" s="13" t="s">
        <v>1048</v>
      </c>
      <c r="E85" s="14" t="s">
        <v>1049</v>
      </c>
      <c r="F85" s="5" t="s">
        <v>12</v>
      </c>
      <c r="G85" s="5" t="s">
        <v>55</v>
      </c>
    </row>
    <row r="86" customFormat="false" ht="21.75" hidden="false" customHeight="true" outlineLevel="0" collapsed="false">
      <c r="B86" s="15" t="s">
        <v>1050</v>
      </c>
      <c r="C86" s="16" t="s">
        <v>37</v>
      </c>
      <c r="D86" s="17" t="s">
        <v>1051</v>
      </c>
      <c r="E86" s="18" t="s">
        <v>1052</v>
      </c>
      <c r="F86" s="7" t="s">
        <v>19</v>
      </c>
      <c r="G86" s="7" t="s">
        <v>123</v>
      </c>
    </row>
    <row r="87" customFormat="false" ht="21.75" hidden="false" customHeight="true" outlineLevel="0" collapsed="false">
      <c r="B87" s="11" t="s">
        <v>1053</v>
      </c>
      <c r="C87" s="12" t="s">
        <v>37</v>
      </c>
      <c r="D87" s="13" t="s">
        <v>1054</v>
      </c>
      <c r="E87" s="14" t="s">
        <v>1055</v>
      </c>
      <c r="F87" s="5" t="s">
        <v>12</v>
      </c>
      <c r="G87" s="5" t="s">
        <v>55</v>
      </c>
    </row>
    <row r="88" customFormat="false" ht="21.75" hidden="false" customHeight="true" outlineLevel="0" collapsed="false">
      <c r="B88" s="15" t="s">
        <v>1056</v>
      </c>
      <c r="C88" s="16" t="s">
        <v>37</v>
      </c>
      <c r="D88" s="17" t="s">
        <v>1057</v>
      </c>
      <c r="E88" s="18" t="s">
        <v>1058</v>
      </c>
      <c r="F88" s="7" t="s">
        <v>19</v>
      </c>
      <c r="G88" s="7" t="s">
        <v>55</v>
      </c>
    </row>
    <row r="89" customFormat="false" ht="21.75" hidden="false" customHeight="true" outlineLevel="0" collapsed="false">
      <c r="B89" s="11" t="s">
        <v>1059</v>
      </c>
      <c r="C89" s="12" t="s">
        <v>37</v>
      </c>
      <c r="D89" s="13" t="s">
        <v>1060</v>
      </c>
      <c r="E89" s="14" t="s">
        <v>1061</v>
      </c>
      <c r="F89" s="5" t="s">
        <v>19</v>
      </c>
      <c r="G89" s="5" t="s">
        <v>123</v>
      </c>
    </row>
    <row r="90" customFormat="false" ht="21.75" hidden="false" customHeight="true" outlineLevel="0" collapsed="false">
      <c r="B90" s="15" t="s">
        <v>1062</v>
      </c>
      <c r="C90" s="16" t="s">
        <v>37</v>
      </c>
      <c r="D90" s="17" t="s">
        <v>1063</v>
      </c>
      <c r="E90" s="18" t="s">
        <v>1064</v>
      </c>
      <c r="F90" s="7" t="s">
        <v>19</v>
      </c>
      <c r="G90" s="7" t="s">
        <v>123</v>
      </c>
    </row>
    <row r="91" customFormat="false" ht="21.75" hidden="false" customHeight="true" outlineLevel="0" collapsed="false">
      <c r="B91" s="11" t="s">
        <v>1065</v>
      </c>
      <c r="C91" s="12" t="s">
        <v>37</v>
      </c>
      <c r="D91" s="13" t="s">
        <v>1066</v>
      </c>
      <c r="E91" s="14" t="s">
        <v>1067</v>
      </c>
      <c r="F91" s="5" t="s">
        <v>19</v>
      </c>
      <c r="G91" s="5" t="s">
        <v>123</v>
      </c>
    </row>
    <row r="92" customFormat="false" ht="21.75" hidden="false" customHeight="true" outlineLevel="0" collapsed="false">
      <c r="B92" s="15" t="s">
        <v>1068</v>
      </c>
      <c r="C92" s="16" t="s">
        <v>37</v>
      </c>
      <c r="D92" s="17" t="s">
        <v>1069</v>
      </c>
      <c r="E92" s="18" t="s">
        <v>1070</v>
      </c>
      <c r="F92" s="7" t="s">
        <v>12</v>
      </c>
      <c r="G92" s="7" t="s">
        <v>55</v>
      </c>
    </row>
    <row r="93" customFormat="false" ht="21.75" hidden="false" customHeight="true" outlineLevel="0" collapsed="false">
      <c r="B93" s="11" t="s">
        <v>1071</v>
      </c>
      <c r="C93" s="12" t="s">
        <v>37</v>
      </c>
      <c r="D93" s="13" t="s">
        <v>1072</v>
      </c>
      <c r="E93" s="14" t="s">
        <v>1073</v>
      </c>
      <c r="F93" s="5" t="s">
        <v>19</v>
      </c>
      <c r="G93" s="5" t="s">
        <v>55</v>
      </c>
    </row>
    <row r="94" customFormat="false" ht="21.75" hidden="false" customHeight="true" outlineLevel="0" collapsed="false">
      <c r="B94" s="15" t="s">
        <v>1074</v>
      </c>
      <c r="C94" s="16" t="s">
        <v>37</v>
      </c>
      <c r="D94" s="17" t="s">
        <v>1075</v>
      </c>
      <c r="E94" s="18" t="s">
        <v>1076</v>
      </c>
      <c r="F94" s="7" t="s">
        <v>12</v>
      </c>
      <c r="G94" s="7" t="s">
        <v>62</v>
      </c>
    </row>
    <row r="95" customFormat="false" ht="21.75" hidden="false" customHeight="true" outlineLevel="0" collapsed="false">
      <c r="B95" s="11" t="s">
        <v>1077</v>
      </c>
      <c r="C95" s="12" t="s">
        <v>37</v>
      </c>
      <c r="D95" s="13" t="s">
        <v>1078</v>
      </c>
      <c r="E95" s="14" t="s">
        <v>1079</v>
      </c>
      <c r="F95" s="5" t="s">
        <v>19</v>
      </c>
      <c r="G95" s="5" t="s">
        <v>123</v>
      </c>
    </row>
    <row r="96" customFormat="false" ht="21.75" hidden="false" customHeight="true" outlineLevel="0" collapsed="false">
      <c r="B96" s="15" t="s">
        <v>1080</v>
      </c>
      <c r="C96" s="16" t="s">
        <v>37</v>
      </c>
      <c r="D96" s="17" t="s">
        <v>1081</v>
      </c>
      <c r="E96" s="18" t="s">
        <v>1082</v>
      </c>
      <c r="F96" s="7" t="s">
        <v>19</v>
      </c>
      <c r="G96" s="7" t="s">
        <v>55</v>
      </c>
    </row>
    <row r="97" customFormat="false" ht="21.75" hidden="false" customHeight="true" outlineLevel="0" collapsed="false">
      <c r="B97" s="11" t="s">
        <v>1083</v>
      </c>
      <c r="C97" s="12" t="s">
        <v>37</v>
      </c>
      <c r="D97" s="13" t="s">
        <v>1084</v>
      </c>
      <c r="E97" s="14" t="s">
        <v>1085</v>
      </c>
      <c r="F97" s="5" t="s">
        <v>19</v>
      </c>
      <c r="G97" s="5" t="s">
        <v>55</v>
      </c>
    </row>
    <row r="98" customFormat="false" ht="21.75" hidden="false" customHeight="true" outlineLevel="0" collapsed="false">
      <c r="B98" s="15" t="s">
        <v>1086</v>
      </c>
      <c r="C98" s="16" t="s">
        <v>37</v>
      </c>
      <c r="D98" s="17" t="s">
        <v>1087</v>
      </c>
      <c r="E98" s="18" t="s">
        <v>1088</v>
      </c>
      <c r="F98" s="7" t="s">
        <v>19</v>
      </c>
      <c r="G98" s="7" t="s">
        <v>123</v>
      </c>
    </row>
    <row r="99" customFormat="false" ht="21.75" hidden="false" customHeight="true" outlineLevel="0" collapsed="false">
      <c r="B99" s="11" t="s">
        <v>1089</v>
      </c>
      <c r="C99" s="12" t="s">
        <v>37</v>
      </c>
      <c r="D99" s="13" t="s">
        <v>1090</v>
      </c>
      <c r="E99" s="14" t="s">
        <v>1091</v>
      </c>
      <c r="F99" s="5" t="s">
        <v>19</v>
      </c>
      <c r="G99" s="5" t="s">
        <v>55</v>
      </c>
    </row>
    <row r="100" customFormat="false" ht="21.75" hidden="false" customHeight="true" outlineLevel="0" collapsed="false">
      <c r="B100" s="15" t="s">
        <v>1092</v>
      </c>
      <c r="C100" s="16" t="s">
        <v>37</v>
      </c>
      <c r="D100" s="17" t="s">
        <v>1093</v>
      </c>
      <c r="E100" s="18" t="s">
        <v>1094</v>
      </c>
      <c r="F100" s="7" t="s">
        <v>19</v>
      </c>
      <c r="G100" s="7" t="s">
        <v>123</v>
      </c>
    </row>
    <row r="101" customFormat="false" ht="21.75" hidden="false" customHeight="true" outlineLevel="0" collapsed="false">
      <c r="B101" s="11" t="s">
        <v>1095</v>
      </c>
      <c r="C101" s="12" t="s">
        <v>37</v>
      </c>
      <c r="D101" s="13" t="s">
        <v>1096</v>
      </c>
      <c r="E101" s="14" t="s">
        <v>1097</v>
      </c>
      <c r="F101" s="5" t="s">
        <v>19</v>
      </c>
      <c r="G101" s="5" t="s">
        <v>62</v>
      </c>
    </row>
    <row r="102" customFormat="false" ht="21.75" hidden="false" customHeight="true" outlineLevel="0" collapsed="false">
      <c r="B102" s="15" t="s">
        <v>1098</v>
      </c>
      <c r="C102" s="16" t="s">
        <v>37</v>
      </c>
      <c r="D102" s="17" t="s">
        <v>1099</v>
      </c>
      <c r="E102" s="18" t="s">
        <v>1100</v>
      </c>
      <c r="F102" s="7" t="s">
        <v>19</v>
      </c>
      <c r="G102" s="7" t="s">
        <v>123</v>
      </c>
    </row>
    <row r="103" customFormat="false" ht="21.75" hidden="false" customHeight="true" outlineLevel="0" collapsed="false">
      <c r="B103" s="11" t="s">
        <v>1101</v>
      </c>
      <c r="C103" s="12" t="s">
        <v>37</v>
      </c>
      <c r="D103" s="13" t="s">
        <v>1102</v>
      </c>
      <c r="E103" s="14" t="s">
        <v>1103</v>
      </c>
      <c r="F103" s="5" t="s">
        <v>19</v>
      </c>
      <c r="G103" s="5" t="s">
        <v>123</v>
      </c>
    </row>
    <row r="104" customFormat="false" ht="21.75" hidden="false" customHeight="true" outlineLevel="0" collapsed="false">
      <c r="B104" s="15" t="s">
        <v>1104</v>
      </c>
      <c r="C104" s="16" t="s">
        <v>37</v>
      </c>
      <c r="D104" s="17" t="s">
        <v>1105</v>
      </c>
      <c r="E104" s="18" t="s">
        <v>1106</v>
      </c>
      <c r="F104" s="7" t="s">
        <v>19</v>
      </c>
      <c r="G104" s="7" t="s">
        <v>55</v>
      </c>
    </row>
    <row r="105" customFormat="false" ht="21.75" hidden="false" customHeight="true" outlineLevel="0" collapsed="false">
      <c r="B105" s="11" t="s">
        <v>1107</v>
      </c>
      <c r="C105" s="12" t="s">
        <v>37</v>
      </c>
      <c r="D105" s="13" t="s">
        <v>1108</v>
      </c>
      <c r="E105" s="14" t="s">
        <v>1109</v>
      </c>
      <c r="F105" s="5" t="s">
        <v>19</v>
      </c>
      <c r="G105" s="5" t="s">
        <v>55</v>
      </c>
    </row>
    <row r="106" customFormat="false" ht="21.75" hidden="false" customHeight="true" outlineLevel="0" collapsed="false">
      <c r="B106" s="15" t="s">
        <v>1110</v>
      </c>
      <c r="C106" s="16" t="s">
        <v>37</v>
      </c>
      <c r="D106" s="17" t="s">
        <v>1111</v>
      </c>
      <c r="E106" s="18" t="s">
        <v>1112</v>
      </c>
      <c r="F106" s="7" t="s">
        <v>19</v>
      </c>
      <c r="G106" s="7" t="s">
        <v>55</v>
      </c>
    </row>
    <row r="107" customFormat="false" ht="21.75" hidden="false" customHeight="true" outlineLevel="0" collapsed="false">
      <c r="B107" s="11" t="s">
        <v>1113</v>
      </c>
      <c r="C107" s="12" t="s">
        <v>37</v>
      </c>
      <c r="D107" s="13" t="s">
        <v>1114</v>
      </c>
      <c r="E107" s="14" t="s">
        <v>1115</v>
      </c>
      <c r="F107" s="5" t="s">
        <v>19</v>
      </c>
      <c r="G107" s="5" t="s">
        <v>55</v>
      </c>
    </row>
    <row r="108" customFormat="false" ht="21.75" hidden="false" customHeight="true" outlineLevel="0" collapsed="false">
      <c r="B108" s="15" t="s">
        <v>1116</v>
      </c>
      <c r="C108" s="16" t="s">
        <v>37</v>
      </c>
      <c r="D108" s="17" t="s">
        <v>1117</v>
      </c>
      <c r="E108" s="18" t="s">
        <v>1118</v>
      </c>
      <c r="F108" s="7" t="s">
        <v>19</v>
      </c>
      <c r="G108" s="7" t="s">
        <v>55</v>
      </c>
    </row>
    <row r="109" customFormat="false" ht="21.75" hidden="false" customHeight="true" outlineLevel="0" collapsed="false">
      <c r="B109" s="11" t="s">
        <v>1119</v>
      </c>
      <c r="C109" s="12" t="s">
        <v>37</v>
      </c>
      <c r="D109" s="13" t="s">
        <v>1120</v>
      </c>
      <c r="E109" s="14" t="s">
        <v>1121</v>
      </c>
      <c r="F109" s="5" t="s">
        <v>19</v>
      </c>
      <c r="G109" s="5" t="s">
        <v>55</v>
      </c>
    </row>
    <row r="110" customFormat="false" ht="21.75" hidden="false" customHeight="true" outlineLevel="0" collapsed="false">
      <c r="B110" s="15" t="s">
        <v>1122</v>
      </c>
      <c r="C110" s="16" t="s">
        <v>38</v>
      </c>
      <c r="D110" s="17" t="s">
        <v>1123</v>
      </c>
      <c r="E110" s="18" t="s">
        <v>1124</v>
      </c>
      <c r="F110" s="7" t="s">
        <v>19</v>
      </c>
      <c r="G110" s="7" t="s">
        <v>123</v>
      </c>
    </row>
    <row r="111" customFormat="false" ht="21.75" hidden="false" customHeight="true" outlineLevel="0" collapsed="false">
      <c r="B111" s="11" t="s">
        <v>1125</v>
      </c>
      <c r="C111" s="12" t="s">
        <v>38</v>
      </c>
      <c r="D111" s="13" t="s">
        <v>1126</v>
      </c>
      <c r="E111" s="14" t="s">
        <v>1127</v>
      </c>
      <c r="F111" s="5" t="s">
        <v>19</v>
      </c>
      <c r="G111" s="5" t="s">
        <v>55</v>
      </c>
    </row>
    <row r="112" customFormat="false" ht="21.75" hidden="false" customHeight="true" outlineLevel="0" collapsed="false">
      <c r="B112" s="15" t="s">
        <v>1128</v>
      </c>
      <c r="C112" s="16" t="s">
        <v>38</v>
      </c>
      <c r="D112" s="17" t="s">
        <v>1129</v>
      </c>
      <c r="E112" s="18" t="s">
        <v>1130</v>
      </c>
      <c r="F112" s="7" t="s">
        <v>12</v>
      </c>
      <c r="G112" s="7" t="s">
        <v>62</v>
      </c>
    </row>
    <row r="113" customFormat="false" ht="21.75" hidden="false" customHeight="true" outlineLevel="0" collapsed="false">
      <c r="B113" s="11" t="s">
        <v>1131</v>
      </c>
      <c r="C113" s="12" t="s">
        <v>38</v>
      </c>
      <c r="D113" s="13" t="s">
        <v>1132</v>
      </c>
      <c r="E113" s="14" t="s">
        <v>1133</v>
      </c>
      <c r="F113" s="5" t="s">
        <v>19</v>
      </c>
      <c r="G113" s="5" t="s">
        <v>55</v>
      </c>
    </row>
    <row r="114" customFormat="false" ht="21.75" hidden="false" customHeight="true" outlineLevel="0" collapsed="false">
      <c r="B114" s="15" t="s">
        <v>1134</v>
      </c>
      <c r="C114" s="16" t="s">
        <v>38</v>
      </c>
      <c r="D114" s="17" t="s">
        <v>1135</v>
      </c>
      <c r="E114" s="18" t="s">
        <v>1136</v>
      </c>
      <c r="F114" s="7" t="s">
        <v>19</v>
      </c>
      <c r="G114" s="7" t="s">
        <v>55</v>
      </c>
    </row>
    <row r="115" customFormat="false" ht="21.75" hidden="false" customHeight="true" outlineLevel="0" collapsed="false">
      <c r="B115" s="11" t="s">
        <v>1137</v>
      </c>
      <c r="C115" s="12" t="s">
        <v>38</v>
      </c>
      <c r="D115" s="13" t="s">
        <v>1138</v>
      </c>
      <c r="E115" s="14" t="s">
        <v>1139</v>
      </c>
      <c r="F115" s="5" t="s">
        <v>19</v>
      </c>
      <c r="G115" s="5" t="s">
        <v>55</v>
      </c>
    </row>
    <row r="116" customFormat="false" ht="21.75" hidden="false" customHeight="true" outlineLevel="0" collapsed="false">
      <c r="B116" s="15" t="s">
        <v>1140</v>
      </c>
      <c r="C116" s="16" t="s">
        <v>38</v>
      </c>
      <c r="D116" s="17" t="s">
        <v>1141</v>
      </c>
      <c r="E116" s="18" t="s">
        <v>1142</v>
      </c>
      <c r="F116" s="7" t="s">
        <v>19</v>
      </c>
      <c r="G116" s="7" t="s">
        <v>123</v>
      </c>
    </row>
    <row r="117" customFormat="false" ht="21.75" hidden="false" customHeight="true" outlineLevel="0" collapsed="false">
      <c r="B117" s="11" t="s">
        <v>1143</v>
      </c>
      <c r="C117" s="12" t="s">
        <v>38</v>
      </c>
      <c r="D117" s="13" t="s">
        <v>1144</v>
      </c>
      <c r="E117" s="14" t="s">
        <v>1145</v>
      </c>
      <c r="F117" s="5" t="s">
        <v>19</v>
      </c>
      <c r="G117" s="5" t="s">
        <v>55</v>
      </c>
    </row>
    <row r="118" customFormat="false" ht="21.75" hidden="false" customHeight="true" outlineLevel="0" collapsed="false">
      <c r="B118" s="15" t="s">
        <v>1146</v>
      </c>
      <c r="C118" s="16" t="s">
        <v>38</v>
      </c>
      <c r="D118" s="17" t="s">
        <v>1147</v>
      </c>
      <c r="E118" s="18" t="s">
        <v>1148</v>
      </c>
      <c r="F118" s="7" t="s">
        <v>12</v>
      </c>
      <c r="G118" s="7" t="s">
        <v>229</v>
      </c>
    </row>
    <row r="119" customFormat="false" ht="21.75" hidden="false" customHeight="true" outlineLevel="0" collapsed="false">
      <c r="B119" s="11" t="s">
        <v>1149</v>
      </c>
      <c r="C119" s="12" t="s">
        <v>38</v>
      </c>
      <c r="D119" s="13" t="s">
        <v>1150</v>
      </c>
      <c r="E119" s="14" t="s">
        <v>1151</v>
      </c>
      <c r="F119" s="5" t="s">
        <v>19</v>
      </c>
      <c r="G119" s="5" t="s">
        <v>55</v>
      </c>
    </row>
    <row r="120" customFormat="false" ht="21.75" hidden="false" customHeight="true" outlineLevel="0" collapsed="false">
      <c r="B120" s="15" t="s">
        <v>1152</v>
      </c>
      <c r="C120" s="16" t="s">
        <v>38</v>
      </c>
      <c r="D120" s="17" t="s">
        <v>1153</v>
      </c>
      <c r="E120" s="18" t="s">
        <v>1154</v>
      </c>
      <c r="F120" s="7" t="s">
        <v>12</v>
      </c>
      <c r="G120" s="7" t="s">
        <v>55</v>
      </c>
    </row>
    <row r="121" customFormat="false" ht="21.75" hidden="false" customHeight="true" outlineLevel="0" collapsed="false">
      <c r="B121" s="11" t="s">
        <v>1155</v>
      </c>
      <c r="C121" s="12" t="s">
        <v>38</v>
      </c>
      <c r="D121" s="13" t="s">
        <v>1156</v>
      </c>
      <c r="E121" s="14" t="s">
        <v>1157</v>
      </c>
      <c r="F121" s="5" t="s">
        <v>19</v>
      </c>
      <c r="G121" s="5" t="s">
        <v>55</v>
      </c>
    </row>
    <row r="122" customFormat="false" ht="21.75" hidden="false" customHeight="true" outlineLevel="0" collapsed="false">
      <c r="B122" s="15" t="s">
        <v>1158</v>
      </c>
      <c r="C122" s="16" t="s">
        <v>38</v>
      </c>
      <c r="D122" s="17" t="s">
        <v>1159</v>
      </c>
      <c r="E122" s="18" t="s">
        <v>1160</v>
      </c>
      <c r="F122" s="7" t="s">
        <v>19</v>
      </c>
      <c r="G122" s="7" t="s">
        <v>55</v>
      </c>
    </row>
    <row r="123" customFormat="false" ht="21.75" hidden="false" customHeight="true" outlineLevel="0" collapsed="false">
      <c r="B123" s="11" t="s">
        <v>1161</v>
      </c>
      <c r="C123" s="12" t="s">
        <v>38</v>
      </c>
      <c r="D123" s="13" t="s">
        <v>1162</v>
      </c>
      <c r="E123" s="14" t="s">
        <v>1163</v>
      </c>
      <c r="F123" s="5" t="s">
        <v>19</v>
      </c>
      <c r="G123" s="5" t="s">
        <v>55</v>
      </c>
    </row>
    <row r="124" customFormat="false" ht="21.75" hidden="false" customHeight="true" outlineLevel="0" collapsed="false">
      <c r="B124" s="15" t="s">
        <v>1164</v>
      </c>
      <c r="C124" s="16" t="s">
        <v>38</v>
      </c>
      <c r="D124" s="17" t="s">
        <v>1165</v>
      </c>
      <c r="E124" s="18" t="s">
        <v>1166</v>
      </c>
      <c r="F124" s="7" t="s">
        <v>12</v>
      </c>
      <c r="G124" s="7" t="s">
        <v>62</v>
      </c>
    </row>
    <row r="125" customFormat="false" ht="21.75" hidden="false" customHeight="true" outlineLevel="0" collapsed="false">
      <c r="B125" s="11" t="s">
        <v>1167</v>
      </c>
      <c r="C125" s="12" t="s">
        <v>38</v>
      </c>
      <c r="D125" s="13" t="s">
        <v>1168</v>
      </c>
      <c r="E125" s="14" t="s">
        <v>1169</v>
      </c>
      <c r="F125" s="5" t="s">
        <v>19</v>
      </c>
      <c r="G125" s="5" t="s">
        <v>55</v>
      </c>
    </row>
    <row r="126" customFormat="false" ht="21.75" hidden="false" customHeight="true" outlineLevel="0" collapsed="false">
      <c r="B126" s="15" t="s">
        <v>1170</v>
      </c>
      <c r="C126" s="16" t="s">
        <v>38</v>
      </c>
      <c r="D126" s="17" t="s">
        <v>1171</v>
      </c>
      <c r="E126" s="18" t="s">
        <v>1172</v>
      </c>
      <c r="F126" s="7" t="s">
        <v>19</v>
      </c>
      <c r="G126" s="7" t="s">
        <v>55</v>
      </c>
    </row>
    <row r="127" customFormat="false" ht="21.75" hidden="false" customHeight="true" outlineLevel="0" collapsed="false">
      <c r="B127" s="11" t="s">
        <v>1173</v>
      </c>
      <c r="C127" s="12" t="s">
        <v>38</v>
      </c>
      <c r="D127" s="13" t="s">
        <v>1174</v>
      </c>
      <c r="E127" s="14" t="s">
        <v>1175</v>
      </c>
      <c r="F127" s="5" t="s">
        <v>19</v>
      </c>
      <c r="G127" s="5" t="s">
        <v>123</v>
      </c>
    </row>
    <row r="128" customFormat="false" ht="21.75" hidden="false" customHeight="true" outlineLevel="0" collapsed="false">
      <c r="B128" s="15" t="s">
        <v>1176</v>
      </c>
      <c r="C128" s="16" t="s">
        <v>38</v>
      </c>
      <c r="D128" s="17" t="s">
        <v>1177</v>
      </c>
      <c r="E128" s="18" t="s">
        <v>1178</v>
      </c>
      <c r="F128" s="7" t="s">
        <v>19</v>
      </c>
      <c r="G128" s="7" t="s">
        <v>55</v>
      </c>
    </row>
    <row r="129" customFormat="false" ht="21.75" hidden="false" customHeight="true" outlineLevel="0" collapsed="false">
      <c r="B129" s="11" t="s">
        <v>1179</v>
      </c>
      <c r="C129" s="12" t="s">
        <v>38</v>
      </c>
      <c r="D129" s="13" t="s">
        <v>1180</v>
      </c>
      <c r="E129" s="14" t="s">
        <v>1181</v>
      </c>
      <c r="F129" s="5" t="s">
        <v>19</v>
      </c>
      <c r="G129" s="5" t="s">
        <v>123</v>
      </c>
    </row>
    <row r="130" customFormat="false" ht="21.75" hidden="false" customHeight="true" outlineLevel="0" collapsed="false">
      <c r="B130" s="15" t="s">
        <v>1182</v>
      </c>
      <c r="C130" s="16" t="s">
        <v>38</v>
      </c>
      <c r="D130" s="17" t="s">
        <v>1183</v>
      </c>
      <c r="E130" s="18" t="s">
        <v>1184</v>
      </c>
      <c r="F130" s="7" t="s">
        <v>19</v>
      </c>
      <c r="G130" s="7" t="s">
        <v>123</v>
      </c>
    </row>
    <row r="131" customFormat="false" ht="21.75" hidden="false" customHeight="true" outlineLevel="0" collapsed="false">
      <c r="B131" s="11" t="s">
        <v>1185</v>
      </c>
      <c r="C131" s="12" t="s">
        <v>38</v>
      </c>
      <c r="D131" s="13" t="s">
        <v>1186</v>
      </c>
      <c r="E131" s="14" t="s">
        <v>1187</v>
      </c>
      <c r="F131" s="5" t="s">
        <v>19</v>
      </c>
      <c r="G131" s="5" t="s">
        <v>123</v>
      </c>
    </row>
    <row r="132" customFormat="false" ht="21.75" hidden="false" customHeight="true" outlineLevel="0" collapsed="false">
      <c r="B132" s="15" t="s">
        <v>1188</v>
      </c>
      <c r="C132" s="16" t="s">
        <v>38</v>
      </c>
      <c r="D132" s="17" t="s">
        <v>1189</v>
      </c>
      <c r="E132" s="18" t="s">
        <v>1190</v>
      </c>
      <c r="F132" s="7" t="s">
        <v>19</v>
      </c>
      <c r="G132" s="7" t="s">
        <v>123</v>
      </c>
    </row>
    <row r="133" customFormat="false" ht="21.75" hidden="false" customHeight="true" outlineLevel="0" collapsed="false">
      <c r="B133" s="11" t="s">
        <v>1191</v>
      </c>
      <c r="C133" s="12" t="s">
        <v>38</v>
      </c>
      <c r="D133" s="13" t="s">
        <v>1192</v>
      </c>
      <c r="E133" s="14" t="s">
        <v>1193</v>
      </c>
      <c r="F133" s="5" t="s">
        <v>19</v>
      </c>
      <c r="G133" s="5" t="s">
        <v>55</v>
      </c>
    </row>
    <row r="134" customFormat="false" ht="21.75" hidden="false" customHeight="true" outlineLevel="0" collapsed="false">
      <c r="B134" s="15" t="s">
        <v>1194</v>
      </c>
      <c r="C134" s="16" t="s">
        <v>38</v>
      </c>
      <c r="D134" s="17" t="s">
        <v>1195</v>
      </c>
      <c r="E134" s="18" t="s">
        <v>1196</v>
      </c>
      <c r="F134" s="7" t="s">
        <v>19</v>
      </c>
      <c r="G134" s="7" t="s">
        <v>55</v>
      </c>
    </row>
    <row r="135" customFormat="false" ht="21.75" hidden="false" customHeight="true" outlineLevel="0" collapsed="false">
      <c r="B135" s="11" t="s">
        <v>1197</v>
      </c>
      <c r="C135" s="12" t="s">
        <v>38</v>
      </c>
      <c r="D135" s="13" t="s">
        <v>1198</v>
      </c>
      <c r="E135" s="14" t="s">
        <v>1199</v>
      </c>
      <c r="F135" s="5" t="s">
        <v>19</v>
      </c>
      <c r="G135" s="5" t="s">
        <v>55</v>
      </c>
    </row>
    <row r="136" customFormat="false" ht="21.75" hidden="false" customHeight="true" outlineLevel="0" collapsed="false">
      <c r="B136" s="15" t="s">
        <v>1200</v>
      </c>
      <c r="C136" s="16" t="s">
        <v>38</v>
      </c>
      <c r="D136" s="17" t="s">
        <v>1201</v>
      </c>
      <c r="E136" s="18" t="s">
        <v>1202</v>
      </c>
      <c r="F136" s="7" t="s">
        <v>12</v>
      </c>
      <c r="G136" s="7" t="s">
        <v>62</v>
      </c>
    </row>
    <row r="137" customFormat="false" ht="21.75" hidden="false" customHeight="true" outlineLevel="0" collapsed="false">
      <c r="B137" s="11" t="s">
        <v>1203</v>
      </c>
      <c r="C137" s="12" t="s">
        <v>38</v>
      </c>
      <c r="D137" s="13" t="s">
        <v>1204</v>
      </c>
      <c r="E137" s="14" t="s">
        <v>1205</v>
      </c>
      <c r="F137" s="5" t="s">
        <v>19</v>
      </c>
      <c r="G137" s="5" t="s">
        <v>55</v>
      </c>
    </row>
    <row r="138" customFormat="false" ht="21.75" hidden="false" customHeight="true" outlineLevel="0" collapsed="false">
      <c r="B138" s="15" t="s">
        <v>1206</v>
      </c>
      <c r="C138" s="16" t="s">
        <v>38</v>
      </c>
      <c r="D138" s="17" t="s">
        <v>1207</v>
      </c>
      <c r="E138" s="18" t="s">
        <v>1208</v>
      </c>
      <c r="F138" s="7" t="s">
        <v>19</v>
      </c>
      <c r="G138" s="7" t="s">
        <v>55</v>
      </c>
    </row>
    <row r="139" customFormat="false" ht="21.75" hidden="false" customHeight="true" outlineLevel="0" collapsed="false">
      <c r="B139" s="11" t="s">
        <v>1209</v>
      </c>
      <c r="C139" s="12" t="s">
        <v>38</v>
      </c>
      <c r="D139" s="13" t="s">
        <v>1210</v>
      </c>
      <c r="E139" s="14" t="s">
        <v>1211</v>
      </c>
      <c r="F139" s="5" t="s">
        <v>19</v>
      </c>
      <c r="G139" s="5" t="s">
        <v>123</v>
      </c>
    </row>
    <row r="140" customFormat="false" ht="21.75" hidden="false" customHeight="true" outlineLevel="0" collapsed="false">
      <c r="B140" s="15" t="s">
        <v>1212</v>
      </c>
      <c r="C140" s="16" t="s">
        <v>38</v>
      </c>
      <c r="D140" s="17" t="s">
        <v>1213</v>
      </c>
      <c r="E140" s="18" t="s">
        <v>1214</v>
      </c>
      <c r="F140" s="7" t="s">
        <v>19</v>
      </c>
      <c r="G140" s="7" t="s">
        <v>55</v>
      </c>
    </row>
    <row r="141" customFormat="false" ht="21.75" hidden="false" customHeight="true" outlineLevel="0" collapsed="false">
      <c r="B141" s="11" t="s">
        <v>1215</v>
      </c>
      <c r="C141" s="12" t="s">
        <v>38</v>
      </c>
      <c r="D141" s="13" t="s">
        <v>1216</v>
      </c>
      <c r="E141" s="14" t="s">
        <v>1217</v>
      </c>
      <c r="F141" s="5" t="s">
        <v>12</v>
      </c>
      <c r="G141" s="5" t="s">
        <v>55</v>
      </c>
    </row>
    <row r="142" customFormat="false" ht="21.75" hidden="false" customHeight="true" outlineLevel="0" collapsed="false">
      <c r="B142" s="15" t="s">
        <v>1218</v>
      </c>
      <c r="C142" s="16" t="s">
        <v>38</v>
      </c>
      <c r="D142" s="17" t="s">
        <v>1219</v>
      </c>
      <c r="E142" s="18" t="s">
        <v>1220</v>
      </c>
      <c r="F142" s="7" t="s">
        <v>19</v>
      </c>
      <c r="G142" s="7" t="s">
        <v>229</v>
      </c>
    </row>
    <row r="143" customFormat="false" ht="21.75" hidden="false" customHeight="true" outlineLevel="0" collapsed="false">
      <c r="B143" s="11" t="s">
        <v>1221</v>
      </c>
      <c r="C143" s="12" t="s">
        <v>38</v>
      </c>
      <c r="D143" s="13" t="s">
        <v>1222</v>
      </c>
      <c r="E143" s="14" t="s">
        <v>1223</v>
      </c>
      <c r="F143" s="5" t="s">
        <v>19</v>
      </c>
      <c r="G143" s="5" t="s">
        <v>229</v>
      </c>
    </row>
    <row r="144" customFormat="false" ht="21.75" hidden="false" customHeight="true" outlineLevel="0" collapsed="false">
      <c r="B144" s="15" t="s">
        <v>1224</v>
      </c>
      <c r="C144" s="16" t="s">
        <v>38</v>
      </c>
      <c r="D144" s="17" t="s">
        <v>1225</v>
      </c>
      <c r="E144" s="18" t="s">
        <v>1226</v>
      </c>
      <c r="F144" s="7" t="s">
        <v>19</v>
      </c>
      <c r="G144" s="7" t="s">
        <v>55</v>
      </c>
    </row>
    <row r="145" customFormat="false" ht="21.75" hidden="false" customHeight="true" outlineLevel="0" collapsed="false">
      <c r="B145" s="11" t="s">
        <v>1227</v>
      </c>
      <c r="C145" s="12" t="s">
        <v>39</v>
      </c>
      <c r="D145" s="13" t="s">
        <v>1228</v>
      </c>
      <c r="E145" s="14" t="s">
        <v>1229</v>
      </c>
      <c r="F145" s="5" t="s">
        <v>12</v>
      </c>
      <c r="G145" s="5" t="s">
        <v>55</v>
      </c>
    </row>
    <row r="146" customFormat="false" ht="21.75" hidden="false" customHeight="true" outlineLevel="0" collapsed="false">
      <c r="B146" s="15" t="s">
        <v>1230</v>
      </c>
      <c r="C146" s="16" t="s">
        <v>39</v>
      </c>
      <c r="D146" s="17" t="s">
        <v>1231</v>
      </c>
      <c r="E146" s="18" t="s">
        <v>1232</v>
      </c>
      <c r="F146" s="7" t="s">
        <v>12</v>
      </c>
      <c r="G146" s="7" t="s">
        <v>62</v>
      </c>
    </row>
    <row r="147" customFormat="false" ht="21.75" hidden="false" customHeight="true" outlineLevel="0" collapsed="false">
      <c r="B147" s="11" t="s">
        <v>1233</v>
      </c>
      <c r="C147" s="12" t="s">
        <v>39</v>
      </c>
      <c r="D147" s="13" t="s">
        <v>1234</v>
      </c>
      <c r="E147" s="14" t="s">
        <v>1235</v>
      </c>
      <c r="F147" s="5" t="s">
        <v>19</v>
      </c>
      <c r="G147" s="5" t="s">
        <v>55</v>
      </c>
    </row>
    <row r="148" customFormat="false" ht="21.75" hidden="false" customHeight="true" outlineLevel="0" collapsed="false">
      <c r="B148" s="15" t="s">
        <v>1236</v>
      </c>
      <c r="C148" s="16" t="s">
        <v>39</v>
      </c>
      <c r="D148" s="17" t="s">
        <v>1237</v>
      </c>
      <c r="E148" s="18" t="s">
        <v>1238</v>
      </c>
      <c r="F148" s="7" t="s">
        <v>12</v>
      </c>
      <c r="G148" s="7" t="s">
        <v>62</v>
      </c>
    </row>
    <row r="149" customFormat="false" ht="21.75" hidden="false" customHeight="true" outlineLevel="0" collapsed="false">
      <c r="B149" s="11" t="s">
        <v>1239</v>
      </c>
      <c r="C149" s="12" t="s">
        <v>39</v>
      </c>
      <c r="D149" s="13" t="s">
        <v>1240</v>
      </c>
      <c r="E149" s="14" t="s">
        <v>1241</v>
      </c>
      <c r="F149" s="5" t="s">
        <v>19</v>
      </c>
      <c r="G149" s="5" t="s">
        <v>62</v>
      </c>
    </row>
    <row r="150" customFormat="false" ht="21.75" hidden="false" customHeight="true" outlineLevel="0" collapsed="false">
      <c r="B150" s="15" t="s">
        <v>1242</v>
      </c>
      <c r="C150" s="16" t="s">
        <v>39</v>
      </c>
      <c r="D150" s="17" t="s">
        <v>1243</v>
      </c>
      <c r="E150" s="18" t="s">
        <v>1244</v>
      </c>
      <c r="F150" s="7" t="s">
        <v>19</v>
      </c>
      <c r="G150" s="7" t="s">
        <v>229</v>
      </c>
    </row>
    <row r="151" customFormat="false" ht="21.75" hidden="false" customHeight="true" outlineLevel="0" collapsed="false">
      <c r="B151" s="11" t="s">
        <v>1245</v>
      </c>
      <c r="C151" s="12" t="s">
        <v>39</v>
      </c>
      <c r="D151" s="13" t="s">
        <v>1246</v>
      </c>
      <c r="E151" s="14" t="s">
        <v>1247</v>
      </c>
      <c r="F151" s="5" t="s">
        <v>19</v>
      </c>
      <c r="G151" s="5" t="s">
        <v>55</v>
      </c>
    </row>
    <row r="152" customFormat="false" ht="21.75" hidden="false" customHeight="true" outlineLevel="0" collapsed="false">
      <c r="B152" s="15" t="s">
        <v>1248</v>
      </c>
      <c r="C152" s="16" t="s">
        <v>39</v>
      </c>
      <c r="D152" s="17" t="s">
        <v>1249</v>
      </c>
      <c r="E152" s="18" t="s">
        <v>1250</v>
      </c>
      <c r="F152" s="7" t="s">
        <v>19</v>
      </c>
      <c r="G152" s="7" t="s">
        <v>55</v>
      </c>
    </row>
    <row r="153" customFormat="false" ht="21.75" hidden="false" customHeight="true" outlineLevel="0" collapsed="false">
      <c r="B153" s="11" t="s">
        <v>1251</v>
      </c>
      <c r="C153" s="12" t="s">
        <v>39</v>
      </c>
      <c r="D153" s="13" t="s">
        <v>1252</v>
      </c>
      <c r="E153" s="14" t="s">
        <v>1253</v>
      </c>
      <c r="F153" s="5" t="s">
        <v>12</v>
      </c>
      <c r="G153" s="5" t="s">
        <v>62</v>
      </c>
    </row>
    <row r="154" customFormat="false" ht="21.75" hidden="false" customHeight="true" outlineLevel="0" collapsed="false">
      <c r="B154" s="15" t="s">
        <v>1254</v>
      </c>
      <c r="C154" s="16" t="s">
        <v>39</v>
      </c>
      <c r="D154" s="17" t="s">
        <v>1255</v>
      </c>
      <c r="E154" s="18" t="s">
        <v>1256</v>
      </c>
      <c r="F154" s="7" t="s">
        <v>19</v>
      </c>
      <c r="G154" s="7" t="s">
        <v>55</v>
      </c>
    </row>
    <row r="155" customFormat="false" ht="21.75" hidden="false" customHeight="true" outlineLevel="0" collapsed="false">
      <c r="B155" s="11" t="s">
        <v>1257</v>
      </c>
      <c r="C155" s="12" t="s">
        <v>39</v>
      </c>
      <c r="D155" s="13" t="s">
        <v>1258</v>
      </c>
      <c r="E155" s="14" t="s">
        <v>1259</v>
      </c>
      <c r="F155" s="5" t="s">
        <v>19</v>
      </c>
      <c r="G155" s="5" t="s">
        <v>55</v>
      </c>
    </row>
    <row r="156" customFormat="false" ht="21.75" hidden="false" customHeight="true" outlineLevel="0" collapsed="false">
      <c r="B156" s="15" t="s">
        <v>1260</v>
      </c>
      <c r="C156" s="16" t="s">
        <v>39</v>
      </c>
      <c r="D156" s="17" t="s">
        <v>1261</v>
      </c>
      <c r="E156" s="18" t="s">
        <v>1262</v>
      </c>
      <c r="F156" s="7" t="s">
        <v>19</v>
      </c>
      <c r="G156" s="7" t="s">
        <v>55</v>
      </c>
    </row>
    <row r="157" customFormat="false" ht="21.75" hidden="false" customHeight="true" outlineLevel="0" collapsed="false">
      <c r="B157" s="11" t="s">
        <v>1263</v>
      </c>
      <c r="C157" s="12" t="s">
        <v>39</v>
      </c>
      <c r="D157" s="13" t="s">
        <v>1264</v>
      </c>
      <c r="E157" s="14" t="s">
        <v>1265</v>
      </c>
      <c r="F157" s="5" t="s">
        <v>19</v>
      </c>
      <c r="G157" s="5" t="s">
        <v>123</v>
      </c>
    </row>
    <row r="158" customFormat="false" ht="21.75" hidden="false" customHeight="true" outlineLevel="0" collapsed="false">
      <c r="B158" s="15" t="s">
        <v>1266</v>
      </c>
      <c r="C158" s="16" t="s">
        <v>39</v>
      </c>
      <c r="D158" s="17" t="s">
        <v>1267</v>
      </c>
      <c r="E158" s="18" t="s">
        <v>1268</v>
      </c>
      <c r="F158" s="7" t="s">
        <v>19</v>
      </c>
      <c r="G158" s="7" t="s">
        <v>123</v>
      </c>
    </row>
    <row r="159" customFormat="false" ht="21.75" hidden="false" customHeight="true" outlineLevel="0" collapsed="false">
      <c r="B159" s="11" t="s">
        <v>1269</v>
      </c>
      <c r="C159" s="12" t="s">
        <v>39</v>
      </c>
      <c r="D159" s="13" t="s">
        <v>1270</v>
      </c>
      <c r="E159" s="14" t="s">
        <v>1271</v>
      </c>
      <c r="F159" s="5" t="s">
        <v>12</v>
      </c>
      <c r="G159" s="5" t="s">
        <v>62</v>
      </c>
    </row>
    <row r="160" customFormat="false" ht="21.75" hidden="false" customHeight="true" outlineLevel="0" collapsed="false">
      <c r="B160" s="15" t="s">
        <v>1272</v>
      </c>
      <c r="C160" s="16" t="s">
        <v>39</v>
      </c>
      <c r="D160" s="17" t="s">
        <v>1273</v>
      </c>
      <c r="E160" s="18" t="s">
        <v>1274</v>
      </c>
      <c r="F160" s="7" t="s">
        <v>19</v>
      </c>
      <c r="G160" s="7" t="s">
        <v>55</v>
      </c>
    </row>
    <row r="161" customFormat="false" ht="21.75" hidden="false" customHeight="true" outlineLevel="0" collapsed="false">
      <c r="B161" s="11" t="s">
        <v>1275</v>
      </c>
      <c r="C161" s="12" t="s">
        <v>39</v>
      </c>
      <c r="D161" s="13" t="s">
        <v>1276</v>
      </c>
      <c r="E161" s="14" t="s">
        <v>1277</v>
      </c>
      <c r="F161" s="5" t="s">
        <v>19</v>
      </c>
      <c r="G161" s="5" t="s">
        <v>62</v>
      </c>
    </row>
    <row r="162" customFormat="false" ht="21.75" hidden="false" customHeight="true" outlineLevel="0" collapsed="false">
      <c r="B162" s="15" t="s">
        <v>1278</v>
      </c>
      <c r="C162" s="16" t="s">
        <v>39</v>
      </c>
      <c r="D162" s="17" t="s">
        <v>1279</v>
      </c>
      <c r="E162" s="18" t="s">
        <v>1280</v>
      </c>
      <c r="F162" s="7" t="s">
        <v>20</v>
      </c>
      <c r="G162" s="7" t="s">
        <v>62</v>
      </c>
    </row>
    <row r="163" customFormat="false" ht="21.75" hidden="false" customHeight="true" outlineLevel="0" collapsed="false">
      <c r="B163" s="11" t="s">
        <v>1281</v>
      </c>
      <c r="C163" s="12" t="s">
        <v>39</v>
      </c>
      <c r="D163" s="13" t="s">
        <v>1282</v>
      </c>
      <c r="E163" s="14" t="s">
        <v>1283</v>
      </c>
      <c r="F163" s="5" t="s">
        <v>19</v>
      </c>
      <c r="G163" s="5" t="s">
        <v>123</v>
      </c>
    </row>
    <row r="164" customFormat="false" ht="21.75" hidden="false" customHeight="true" outlineLevel="0" collapsed="false">
      <c r="B164" s="15" t="s">
        <v>1284</v>
      </c>
      <c r="C164" s="16" t="s">
        <v>39</v>
      </c>
      <c r="D164" s="17" t="s">
        <v>1285</v>
      </c>
      <c r="E164" s="18" t="s">
        <v>1286</v>
      </c>
      <c r="F164" s="7" t="s">
        <v>19</v>
      </c>
      <c r="G164" s="7" t="s">
        <v>123</v>
      </c>
    </row>
    <row r="165" customFormat="false" ht="21.75" hidden="false" customHeight="true" outlineLevel="0" collapsed="false">
      <c r="B165" s="11" t="s">
        <v>1287</v>
      </c>
      <c r="C165" s="12" t="s">
        <v>39</v>
      </c>
      <c r="D165" s="13" t="s">
        <v>1288</v>
      </c>
      <c r="E165" s="14" t="s">
        <v>1289</v>
      </c>
      <c r="F165" s="5" t="s">
        <v>19</v>
      </c>
      <c r="G165" s="5" t="s">
        <v>229</v>
      </c>
    </row>
    <row r="166" customFormat="false" ht="21.75" hidden="false" customHeight="true" outlineLevel="0" collapsed="false">
      <c r="B166" s="15" t="s">
        <v>1290</v>
      </c>
      <c r="C166" s="16" t="s">
        <v>39</v>
      </c>
      <c r="D166" s="17" t="s">
        <v>1291</v>
      </c>
      <c r="E166" s="18" t="s">
        <v>1292</v>
      </c>
      <c r="F166" s="7" t="s">
        <v>19</v>
      </c>
      <c r="G166" s="7" t="s">
        <v>55</v>
      </c>
    </row>
    <row r="167" customFormat="false" ht="21.75" hidden="false" customHeight="true" outlineLevel="0" collapsed="false">
      <c r="B167" s="11" t="s">
        <v>1293</v>
      </c>
      <c r="C167" s="12" t="s">
        <v>39</v>
      </c>
      <c r="D167" s="13" t="s">
        <v>1294</v>
      </c>
      <c r="E167" s="14" t="s">
        <v>1295</v>
      </c>
      <c r="F167" s="5" t="s">
        <v>19</v>
      </c>
      <c r="G167" s="5" t="s">
        <v>229</v>
      </c>
    </row>
    <row r="168" customFormat="false" ht="21.75" hidden="false" customHeight="true" outlineLevel="0" collapsed="false">
      <c r="B168" s="15" t="s">
        <v>1296</v>
      </c>
      <c r="C168" s="16" t="s">
        <v>39</v>
      </c>
      <c r="D168" s="17" t="s">
        <v>1297</v>
      </c>
      <c r="E168" s="18" t="s">
        <v>1298</v>
      </c>
      <c r="F168" s="7" t="s">
        <v>12</v>
      </c>
      <c r="G168" s="7" t="s">
        <v>229</v>
      </c>
    </row>
    <row r="169" customFormat="false" ht="21.75" hidden="false" customHeight="true" outlineLevel="0" collapsed="false">
      <c r="B169" s="11" t="s">
        <v>1299</v>
      </c>
      <c r="C169" s="12" t="s">
        <v>39</v>
      </c>
      <c r="D169" s="13" t="s">
        <v>1300</v>
      </c>
      <c r="E169" s="14" t="s">
        <v>1301</v>
      </c>
      <c r="F169" s="5" t="s">
        <v>19</v>
      </c>
      <c r="G169" s="5" t="s">
        <v>55</v>
      </c>
    </row>
    <row r="170" customFormat="false" ht="21.75" hidden="false" customHeight="true" outlineLevel="0" collapsed="false">
      <c r="B170" s="15" t="s">
        <v>1302</v>
      </c>
      <c r="C170" s="16" t="s">
        <v>36</v>
      </c>
      <c r="D170" s="17" t="s">
        <v>1303</v>
      </c>
      <c r="E170" s="18" t="s">
        <v>1304</v>
      </c>
      <c r="F170" s="7" t="s">
        <v>19</v>
      </c>
      <c r="G170" s="7" t="s">
        <v>55</v>
      </c>
    </row>
    <row r="171" customFormat="false" ht="21.75" hidden="false" customHeight="true" outlineLevel="0" collapsed="false">
      <c r="B171" s="11" t="s">
        <v>1305</v>
      </c>
      <c r="C171" s="12" t="s">
        <v>36</v>
      </c>
      <c r="D171" s="13" t="s">
        <v>1306</v>
      </c>
      <c r="E171" s="14" t="s">
        <v>1307</v>
      </c>
      <c r="F171" s="5" t="s">
        <v>19</v>
      </c>
      <c r="G171" s="5" t="s">
        <v>123</v>
      </c>
    </row>
    <row r="172" customFormat="false" ht="21.75" hidden="false" customHeight="true" outlineLevel="0" collapsed="false">
      <c r="B172" s="15" t="s">
        <v>1308</v>
      </c>
      <c r="C172" s="16" t="s">
        <v>36</v>
      </c>
      <c r="D172" s="17" t="s">
        <v>1309</v>
      </c>
      <c r="E172" s="18" t="s">
        <v>1310</v>
      </c>
      <c r="F172" s="7" t="s">
        <v>12</v>
      </c>
      <c r="G172" s="7" t="s">
        <v>62</v>
      </c>
    </row>
    <row r="173" customFormat="false" ht="21.75" hidden="false" customHeight="true" outlineLevel="0" collapsed="false">
      <c r="B173" s="11" t="s">
        <v>1311</v>
      </c>
      <c r="C173" s="12" t="s">
        <v>36</v>
      </c>
      <c r="D173" s="13" t="s">
        <v>1312</v>
      </c>
      <c r="E173" s="14" t="s">
        <v>1313</v>
      </c>
      <c r="F173" s="5" t="s">
        <v>12</v>
      </c>
      <c r="G173" s="5" t="s">
        <v>62</v>
      </c>
    </row>
    <row r="174" customFormat="false" ht="21.75" hidden="false" customHeight="true" outlineLevel="0" collapsed="false">
      <c r="B174" s="15" t="s">
        <v>1314</v>
      </c>
      <c r="C174" s="16" t="s">
        <v>36</v>
      </c>
      <c r="D174" s="17" t="s">
        <v>1315</v>
      </c>
      <c r="E174" s="18" t="s">
        <v>1316</v>
      </c>
      <c r="F174" s="7" t="s">
        <v>19</v>
      </c>
      <c r="G174" s="7" t="s">
        <v>123</v>
      </c>
    </row>
    <row r="175" customFormat="false" ht="21.75" hidden="false" customHeight="true" outlineLevel="0" collapsed="false">
      <c r="B175" s="11" t="s">
        <v>1317</v>
      </c>
      <c r="C175" s="12" t="s">
        <v>36</v>
      </c>
      <c r="D175" s="13" t="s">
        <v>1318</v>
      </c>
      <c r="E175" s="14" t="s">
        <v>1319</v>
      </c>
      <c r="F175" s="5" t="s">
        <v>19</v>
      </c>
      <c r="G175" s="5" t="s">
        <v>55</v>
      </c>
    </row>
    <row r="176" customFormat="false" ht="21.75" hidden="false" customHeight="true" outlineLevel="0" collapsed="false">
      <c r="B176" s="15" t="s">
        <v>1320</v>
      </c>
      <c r="C176" s="16" t="s">
        <v>36</v>
      </c>
      <c r="D176" s="17" t="s">
        <v>1321</v>
      </c>
      <c r="E176" s="18" t="s">
        <v>1322</v>
      </c>
      <c r="F176" s="7" t="s">
        <v>20</v>
      </c>
      <c r="G176" s="7" t="s">
        <v>62</v>
      </c>
    </row>
    <row r="177" customFormat="false" ht="21.75" hidden="false" customHeight="true" outlineLevel="0" collapsed="false">
      <c r="B177" s="11" t="s">
        <v>1323</v>
      </c>
      <c r="C177" s="12" t="s">
        <v>36</v>
      </c>
      <c r="D177" s="13" t="s">
        <v>1324</v>
      </c>
      <c r="E177" s="14" t="s">
        <v>1325</v>
      </c>
      <c r="F177" s="5" t="s">
        <v>19</v>
      </c>
      <c r="G177" s="5" t="s">
        <v>55</v>
      </c>
    </row>
    <row r="178" customFormat="false" ht="21.75" hidden="false" customHeight="true" outlineLevel="0" collapsed="false">
      <c r="B178" s="15" t="s">
        <v>1326</v>
      </c>
      <c r="C178" s="16" t="s">
        <v>36</v>
      </c>
      <c r="D178" s="17" t="s">
        <v>1327</v>
      </c>
      <c r="E178" s="18" t="s">
        <v>1328</v>
      </c>
      <c r="F178" s="7" t="s">
        <v>20</v>
      </c>
      <c r="G178" s="7" t="s">
        <v>62</v>
      </c>
    </row>
    <row r="179" customFormat="false" ht="21.75" hidden="false" customHeight="true" outlineLevel="0" collapsed="false">
      <c r="B179" s="11" t="s">
        <v>1329</v>
      </c>
      <c r="C179" s="12" t="s">
        <v>36</v>
      </c>
      <c r="D179" s="13" t="s">
        <v>1330</v>
      </c>
      <c r="E179" s="14" t="s">
        <v>1331</v>
      </c>
      <c r="F179" s="5" t="s">
        <v>19</v>
      </c>
      <c r="G179" s="5" t="s">
        <v>55</v>
      </c>
    </row>
    <row r="180" customFormat="false" ht="21.75" hidden="false" customHeight="true" outlineLevel="0" collapsed="false">
      <c r="B180" s="15" t="s">
        <v>1332</v>
      </c>
      <c r="C180" s="16" t="s">
        <v>36</v>
      </c>
      <c r="D180" s="17" t="s">
        <v>1333</v>
      </c>
      <c r="E180" s="18" t="s">
        <v>1334</v>
      </c>
      <c r="F180" s="7" t="s">
        <v>19</v>
      </c>
      <c r="G180" s="7" t="s">
        <v>123</v>
      </c>
    </row>
    <row r="181" customFormat="false" ht="21.75" hidden="false" customHeight="true" outlineLevel="0" collapsed="false">
      <c r="B181" s="11" t="s">
        <v>1335</v>
      </c>
      <c r="C181" s="12" t="s">
        <v>36</v>
      </c>
      <c r="D181" s="13" t="s">
        <v>1336</v>
      </c>
      <c r="E181" s="14" t="s">
        <v>1337</v>
      </c>
      <c r="F181" s="5" t="s">
        <v>19</v>
      </c>
      <c r="G181" s="5" t="s">
        <v>123</v>
      </c>
    </row>
    <row r="182" customFormat="false" ht="21.75" hidden="false" customHeight="true" outlineLevel="0" collapsed="false">
      <c r="B182" s="15" t="s">
        <v>1338</v>
      </c>
      <c r="C182" s="16" t="s">
        <v>36</v>
      </c>
      <c r="D182" s="17" t="s">
        <v>1339</v>
      </c>
      <c r="E182" s="18" t="s">
        <v>1340</v>
      </c>
      <c r="F182" s="7" t="s">
        <v>12</v>
      </c>
      <c r="G182" s="7" t="s">
        <v>229</v>
      </c>
    </row>
    <row r="183" customFormat="false" ht="21.75" hidden="false" customHeight="true" outlineLevel="0" collapsed="false">
      <c r="B183" s="11" t="s">
        <v>1341</v>
      </c>
      <c r="C183" s="12" t="s">
        <v>36</v>
      </c>
      <c r="D183" s="13" t="s">
        <v>1342</v>
      </c>
      <c r="E183" s="14" t="s">
        <v>1343</v>
      </c>
      <c r="F183" s="5" t="s">
        <v>19</v>
      </c>
      <c r="G183" s="5" t="s">
        <v>123</v>
      </c>
    </row>
    <row r="184" customFormat="false" ht="21.75" hidden="false" customHeight="true" outlineLevel="0" collapsed="false">
      <c r="B184" s="15" t="s">
        <v>1344</v>
      </c>
      <c r="C184" s="16" t="s">
        <v>36</v>
      </c>
      <c r="D184" s="17" t="s">
        <v>1345</v>
      </c>
      <c r="E184" s="18" t="s">
        <v>1346</v>
      </c>
      <c r="F184" s="7" t="s">
        <v>19</v>
      </c>
      <c r="G184" s="7" t="s">
        <v>55</v>
      </c>
    </row>
    <row r="185" customFormat="false" ht="21.75" hidden="false" customHeight="true" outlineLevel="0" collapsed="false">
      <c r="B185" s="11" t="s">
        <v>1347</v>
      </c>
      <c r="C185" s="12" t="s">
        <v>36</v>
      </c>
      <c r="D185" s="13" t="s">
        <v>1348</v>
      </c>
      <c r="E185" s="14" t="s">
        <v>1349</v>
      </c>
      <c r="F185" s="5" t="s">
        <v>19</v>
      </c>
      <c r="G185" s="5" t="s">
        <v>123</v>
      </c>
    </row>
    <row r="186" customFormat="false" ht="21.75" hidden="false" customHeight="true" outlineLevel="0" collapsed="false">
      <c r="B186" s="15" t="s">
        <v>1350</v>
      </c>
      <c r="C186" s="16" t="s">
        <v>36</v>
      </c>
      <c r="D186" s="17" t="s">
        <v>1351</v>
      </c>
      <c r="E186" s="18" t="s">
        <v>1352</v>
      </c>
      <c r="F186" s="7" t="s">
        <v>19</v>
      </c>
      <c r="G186" s="7" t="s">
        <v>123</v>
      </c>
    </row>
    <row r="187" customFormat="false" ht="21.75" hidden="false" customHeight="true" outlineLevel="0" collapsed="false">
      <c r="B187" s="11" t="s">
        <v>1353</v>
      </c>
      <c r="C187" s="12" t="s">
        <v>36</v>
      </c>
      <c r="D187" s="13" t="s">
        <v>1354</v>
      </c>
      <c r="E187" s="14" t="s">
        <v>1355</v>
      </c>
      <c r="F187" s="5" t="s">
        <v>19</v>
      </c>
      <c r="G187" s="5" t="s">
        <v>123</v>
      </c>
    </row>
    <row r="188" customFormat="false" ht="21.75" hidden="false" customHeight="true" outlineLevel="0" collapsed="false">
      <c r="B188" s="15" t="s">
        <v>1356</v>
      </c>
      <c r="C188" s="16" t="s">
        <v>36</v>
      </c>
      <c r="D188" s="17" t="s">
        <v>1357</v>
      </c>
      <c r="E188" s="18" t="s">
        <v>1358</v>
      </c>
      <c r="F188" s="7" t="s">
        <v>12</v>
      </c>
      <c r="G188" s="7" t="s">
        <v>229</v>
      </c>
    </row>
    <row r="189" customFormat="false" ht="21.75" hidden="false" customHeight="true" outlineLevel="0" collapsed="false">
      <c r="B189" s="11" t="s">
        <v>1359</v>
      </c>
      <c r="C189" s="12" t="s">
        <v>36</v>
      </c>
      <c r="D189" s="13" t="s">
        <v>1360</v>
      </c>
      <c r="E189" s="14" t="s">
        <v>1361</v>
      </c>
      <c r="F189" s="5" t="s">
        <v>19</v>
      </c>
      <c r="G189" s="5" t="s">
        <v>55</v>
      </c>
    </row>
    <row r="190" customFormat="false" ht="21.75" hidden="false" customHeight="true" outlineLevel="0" collapsed="false">
      <c r="B190" s="15" t="s">
        <v>1362</v>
      </c>
      <c r="C190" s="16" t="s">
        <v>36</v>
      </c>
      <c r="D190" s="17" t="s">
        <v>1363</v>
      </c>
      <c r="E190" s="18" t="s">
        <v>1364</v>
      </c>
      <c r="F190" s="7" t="s">
        <v>19</v>
      </c>
      <c r="G190" s="7" t="s">
        <v>55</v>
      </c>
    </row>
    <row r="191" customFormat="false" ht="21.75" hidden="false" customHeight="true" outlineLevel="0" collapsed="false">
      <c r="B191" s="11" t="s">
        <v>1365</v>
      </c>
      <c r="C191" s="12" t="s">
        <v>36</v>
      </c>
      <c r="D191" s="13" t="s">
        <v>1366</v>
      </c>
      <c r="E191" s="14" t="s">
        <v>1367</v>
      </c>
      <c r="F191" s="5" t="s">
        <v>19</v>
      </c>
      <c r="G191" s="5" t="s">
        <v>62</v>
      </c>
    </row>
    <row r="192" customFormat="false" ht="21.75" hidden="false" customHeight="true" outlineLevel="0" collapsed="false">
      <c r="B192" s="15" t="s">
        <v>1368</v>
      </c>
      <c r="C192" s="16" t="s">
        <v>36</v>
      </c>
      <c r="D192" s="17" t="s">
        <v>1369</v>
      </c>
      <c r="E192" s="18" t="s">
        <v>1370</v>
      </c>
      <c r="F192" s="7" t="s">
        <v>19</v>
      </c>
      <c r="G192" s="7" t="s">
        <v>55</v>
      </c>
    </row>
    <row r="193" customFormat="false" ht="21.75" hidden="false" customHeight="true" outlineLevel="0" collapsed="false">
      <c r="B193" s="11" t="s">
        <v>1371</v>
      </c>
      <c r="C193" s="12" t="s">
        <v>36</v>
      </c>
      <c r="D193" s="13" t="s">
        <v>1372</v>
      </c>
      <c r="E193" s="14" t="s">
        <v>1373</v>
      </c>
      <c r="F193" s="5" t="s">
        <v>19</v>
      </c>
      <c r="G193" s="5" t="s">
        <v>123</v>
      </c>
    </row>
    <row r="194" customFormat="false" ht="21.75" hidden="false" customHeight="true" outlineLevel="0" collapsed="false">
      <c r="B194" s="15" t="s">
        <v>1374</v>
      </c>
      <c r="C194" s="16" t="s">
        <v>36</v>
      </c>
      <c r="D194" s="17" t="s">
        <v>1375</v>
      </c>
      <c r="E194" s="18" t="s">
        <v>1376</v>
      </c>
      <c r="F194" s="7" t="s">
        <v>19</v>
      </c>
      <c r="G194" s="7" t="s">
        <v>55</v>
      </c>
    </row>
    <row r="195" customFormat="false" ht="21.75" hidden="false" customHeight="true" outlineLevel="0" collapsed="false">
      <c r="B195" s="11" t="s">
        <v>1377</v>
      </c>
      <c r="C195" s="12" t="s">
        <v>32</v>
      </c>
      <c r="D195" s="13" t="s">
        <v>1378</v>
      </c>
      <c r="E195" s="14" t="s">
        <v>1379</v>
      </c>
      <c r="F195" s="5" t="s">
        <v>12</v>
      </c>
      <c r="G195" s="5" t="s">
        <v>55</v>
      </c>
    </row>
    <row r="196" customFormat="false" ht="21.75" hidden="false" customHeight="true" outlineLevel="0" collapsed="false">
      <c r="B196" s="15" t="s">
        <v>1380</v>
      </c>
      <c r="C196" s="16" t="s">
        <v>32</v>
      </c>
      <c r="D196" s="17" t="s">
        <v>1381</v>
      </c>
      <c r="E196" s="18" t="s">
        <v>1382</v>
      </c>
      <c r="F196" s="7" t="s">
        <v>12</v>
      </c>
      <c r="G196" s="7" t="s">
        <v>55</v>
      </c>
    </row>
    <row r="197" customFormat="false" ht="21.75" hidden="false" customHeight="true" outlineLevel="0" collapsed="false">
      <c r="B197" s="11" t="s">
        <v>1383</v>
      </c>
      <c r="C197" s="12" t="s">
        <v>32</v>
      </c>
      <c r="D197" s="13" t="s">
        <v>1384</v>
      </c>
      <c r="E197" s="14" t="s">
        <v>1385</v>
      </c>
      <c r="F197" s="5" t="s">
        <v>19</v>
      </c>
      <c r="G197" s="5" t="s">
        <v>123</v>
      </c>
    </row>
    <row r="198" customFormat="false" ht="21.75" hidden="false" customHeight="true" outlineLevel="0" collapsed="false">
      <c r="B198" s="15" t="s">
        <v>1386</v>
      </c>
      <c r="C198" s="16" t="s">
        <v>32</v>
      </c>
      <c r="D198" s="17" t="s">
        <v>1387</v>
      </c>
      <c r="E198" s="18" t="s">
        <v>1388</v>
      </c>
      <c r="F198" s="7" t="s">
        <v>19</v>
      </c>
      <c r="G198" s="7" t="s">
        <v>123</v>
      </c>
    </row>
    <row r="199" customFormat="false" ht="21.75" hidden="false" customHeight="true" outlineLevel="0" collapsed="false">
      <c r="B199" s="11" t="s">
        <v>1389</v>
      </c>
      <c r="C199" s="12" t="s">
        <v>32</v>
      </c>
      <c r="D199" s="13" t="s">
        <v>1390</v>
      </c>
      <c r="E199" s="14" t="s">
        <v>1391</v>
      </c>
      <c r="F199" s="5" t="s">
        <v>12</v>
      </c>
      <c r="G199" s="5" t="s">
        <v>55</v>
      </c>
    </row>
    <row r="200" customFormat="false" ht="21.75" hidden="false" customHeight="true" outlineLevel="0" collapsed="false">
      <c r="B200" s="15" t="s">
        <v>1392</v>
      </c>
      <c r="C200" s="16" t="s">
        <v>32</v>
      </c>
      <c r="D200" s="17" t="s">
        <v>1393</v>
      </c>
      <c r="E200" s="18" t="s">
        <v>1394</v>
      </c>
      <c r="F200" s="7" t="s">
        <v>19</v>
      </c>
      <c r="G200" s="7" t="s">
        <v>123</v>
      </c>
    </row>
    <row r="201" customFormat="false" ht="21.75" hidden="false" customHeight="true" outlineLevel="0" collapsed="false">
      <c r="B201" s="11" t="s">
        <v>1395</v>
      </c>
      <c r="C201" s="12" t="s">
        <v>32</v>
      </c>
      <c r="D201" s="13" t="s">
        <v>1396</v>
      </c>
      <c r="E201" s="14" t="s">
        <v>1397</v>
      </c>
      <c r="F201" s="5" t="s">
        <v>12</v>
      </c>
      <c r="G201" s="5" t="s">
        <v>55</v>
      </c>
    </row>
    <row r="202" customFormat="false" ht="21.75" hidden="false" customHeight="true" outlineLevel="0" collapsed="false">
      <c r="B202" s="15" t="s">
        <v>1398</v>
      </c>
      <c r="C202" s="16" t="s">
        <v>32</v>
      </c>
      <c r="D202" s="17" t="s">
        <v>1399</v>
      </c>
      <c r="E202" s="18" t="s">
        <v>1400</v>
      </c>
      <c r="F202" s="7" t="s">
        <v>19</v>
      </c>
      <c r="G202" s="7" t="s">
        <v>123</v>
      </c>
    </row>
    <row r="203" customFormat="false" ht="21.75" hidden="false" customHeight="true" outlineLevel="0" collapsed="false">
      <c r="B203" s="11" t="s">
        <v>1401</v>
      </c>
      <c r="C203" s="12" t="s">
        <v>32</v>
      </c>
      <c r="D203" s="13" t="s">
        <v>1402</v>
      </c>
      <c r="E203" s="14" t="s">
        <v>1403</v>
      </c>
      <c r="F203" s="5" t="s">
        <v>19</v>
      </c>
      <c r="G203" s="5" t="s">
        <v>55</v>
      </c>
    </row>
    <row r="204" customFormat="false" ht="21.75" hidden="false" customHeight="true" outlineLevel="0" collapsed="false">
      <c r="B204" s="15" t="s">
        <v>1404</v>
      </c>
      <c r="C204" s="16" t="s">
        <v>32</v>
      </c>
      <c r="D204" s="17" t="s">
        <v>1405</v>
      </c>
      <c r="E204" s="18" t="s">
        <v>1406</v>
      </c>
      <c r="F204" s="7" t="s">
        <v>19</v>
      </c>
      <c r="G204" s="7" t="s">
        <v>123</v>
      </c>
    </row>
    <row r="205" customFormat="false" ht="21.75" hidden="false" customHeight="true" outlineLevel="0" collapsed="false">
      <c r="B205" s="11" t="s">
        <v>1407</v>
      </c>
      <c r="C205" s="12" t="s">
        <v>32</v>
      </c>
      <c r="D205" s="13" t="s">
        <v>1408</v>
      </c>
      <c r="E205" s="14" t="s">
        <v>1409</v>
      </c>
      <c r="F205" s="5" t="s">
        <v>19</v>
      </c>
      <c r="G205" s="5" t="s">
        <v>123</v>
      </c>
    </row>
    <row r="206" customFormat="false" ht="21.75" hidden="false" customHeight="true" outlineLevel="0" collapsed="false">
      <c r="B206" s="15" t="s">
        <v>1410</v>
      </c>
      <c r="C206" s="16" t="s">
        <v>32</v>
      </c>
      <c r="D206" s="17" t="s">
        <v>1411</v>
      </c>
      <c r="E206" s="18" t="s">
        <v>1412</v>
      </c>
      <c r="F206" s="7" t="s">
        <v>19</v>
      </c>
      <c r="G206" s="7" t="s">
        <v>123</v>
      </c>
    </row>
    <row r="207" customFormat="false" ht="21.75" hidden="false" customHeight="true" outlineLevel="0" collapsed="false">
      <c r="B207" s="11" t="s">
        <v>1413</v>
      </c>
      <c r="C207" s="12" t="s">
        <v>32</v>
      </c>
      <c r="D207" s="13" t="s">
        <v>1414</v>
      </c>
      <c r="E207" s="14" t="s">
        <v>1415</v>
      </c>
      <c r="F207" s="5" t="s">
        <v>19</v>
      </c>
      <c r="G207" s="5" t="s">
        <v>55</v>
      </c>
    </row>
    <row r="208" customFormat="false" ht="21.75" hidden="false" customHeight="true" outlineLevel="0" collapsed="false">
      <c r="B208" s="15" t="s">
        <v>1416</v>
      </c>
      <c r="C208" s="16" t="s">
        <v>32</v>
      </c>
      <c r="D208" s="17" t="s">
        <v>1417</v>
      </c>
      <c r="E208" s="18" t="s">
        <v>1418</v>
      </c>
      <c r="F208" s="7" t="s">
        <v>12</v>
      </c>
      <c r="G208" s="7" t="s">
        <v>62</v>
      </c>
    </row>
    <row r="209" customFormat="false" ht="21.75" hidden="false" customHeight="true" outlineLevel="0" collapsed="false">
      <c r="B209" s="11" t="s">
        <v>1419</v>
      </c>
      <c r="C209" s="12" t="s">
        <v>32</v>
      </c>
      <c r="D209" s="13" t="s">
        <v>1420</v>
      </c>
      <c r="E209" s="14" t="s">
        <v>1421</v>
      </c>
      <c r="F209" s="5" t="s">
        <v>19</v>
      </c>
      <c r="G209" s="5" t="s">
        <v>55</v>
      </c>
    </row>
    <row r="210" customFormat="false" ht="21.75" hidden="false" customHeight="true" outlineLevel="0" collapsed="false">
      <c r="B210" s="15" t="s">
        <v>1422</v>
      </c>
      <c r="C210" s="16" t="s">
        <v>32</v>
      </c>
      <c r="D210" s="17" t="s">
        <v>1423</v>
      </c>
      <c r="E210" s="18" t="s">
        <v>1424</v>
      </c>
      <c r="F210" s="7" t="s">
        <v>19</v>
      </c>
      <c r="G210" s="7" t="s">
        <v>55</v>
      </c>
    </row>
    <row r="211" customFormat="false" ht="21.75" hidden="false" customHeight="true" outlineLevel="0" collapsed="false">
      <c r="B211" s="11" t="s">
        <v>1425</v>
      </c>
      <c r="C211" s="12" t="s">
        <v>32</v>
      </c>
      <c r="D211" s="13" t="s">
        <v>1426</v>
      </c>
      <c r="E211" s="14" t="s">
        <v>1427</v>
      </c>
      <c r="F211" s="5" t="s">
        <v>19</v>
      </c>
      <c r="G211" s="5" t="s">
        <v>123</v>
      </c>
    </row>
    <row r="212" customFormat="false" ht="21.75" hidden="false" customHeight="true" outlineLevel="0" collapsed="false">
      <c r="B212" s="15" t="s">
        <v>1428</v>
      </c>
      <c r="C212" s="16" t="s">
        <v>32</v>
      </c>
      <c r="D212" s="17" t="s">
        <v>1429</v>
      </c>
      <c r="E212" s="18" t="s">
        <v>1430</v>
      </c>
      <c r="F212" s="7" t="s">
        <v>19</v>
      </c>
      <c r="G212" s="7" t="s">
        <v>123</v>
      </c>
    </row>
    <row r="213" customFormat="false" ht="21.75" hidden="false" customHeight="true" outlineLevel="0" collapsed="false">
      <c r="B213" s="11" t="s">
        <v>1431</v>
      </c>
      <c r="C213" s="12" t="s">
        <v>32</v>
      </c>
      <c r="D213" s="13" t="s">
        <v>1432</v>
      </c>
      <c r="E213" s="14" t="s">
        <v>1433</v>
      </c>
      <c r="F213" s="5" t="s">
        <v>19</v>
      </c>
      <c r="G213" s="5" t="s">
        <v>55</v>
      </c>
    </row>
    <row r="214" customFormat="false" ht="21.75" hidden="false" customHeight="true" outlineLevel="0" collapsed="false">
      <c r="B214" s="15" t="s">
        <v>1434</v>
      </c>
      <c r="C214" s="16" t="s">
        <v>32</v>
      </c>
      <c r="D214" s="17" t="s">
        <v>1435</v>
      </c>
      <c r="E214" s="18" t="s">
        <v>1436</v>
      </c>
      <c r="F214" s="7" t="s">
        <v>12</v>
      </c>
      <c r="G214" s="7" t="s">
        <v>55</v>
      </c>
    </row>
    <row r="215" customFormat="false" ht="21.75" hidden="false" customHeight="true" outlineLevel="0" collapsed="false">
      <c r="B215" s="11" t="s">
        <v>1437</v>
      </c>
      <c r="C215" s="12" t="s">
        <v>32</v>
      </c>
      <c r="D215" s="13" t="s">
        <v>1438</v>
      </c>
      <c r="E215" s="14" t="s">
        <v>1439</v>
      </c>
      <c r="F215" s="5" t="s">
        <v>19</v>
      </c>
      <c r="G215" s="5" t="s">
        <v>123</v>
      </c>
    </row>
    <row r="216" customFormat="false" ht="21.75" hidden="false" customHeight="true" outlineLevel="0" collapsed="false">
      <c r="B216" s="15" t="s">
        <v>1440</v>
      </c>
      <c r="C216" s="16" t="s">
        <v>32</v>
      </c>
      <c r="D216" s="17" t="s">
        <v>1441</v>
      </c>
      <c r="E216" s="18" t="s">
        <v>1442</v>
      </c>
      <c r="F216" s="7" t="s">
        <v>19</v>
      </c>
      <c r="G216" s="7" t="s">
        <v>55</v>
      </c>
    </row>
    <row r="217" customFormat="false" ht="21.75" hidden="false" customHeight="true" outlineLevel="0" collapsed="false">
      <c r="B217" s="11" t="s">
        <v>1443</v>
      </c>
      <c r="C217" s="12" t="s">
        <v>32</v>
      </c>
      <c r="D217" s="13" t="s">
        <v>1444</v>
      </c>
      <c r="E217" s="14" t="s">
        <v>1445</v>
      </c>
      <c r="F217" s="5" t="s">
        <v>19</v>
      </c>
      <c r="G217" s="5" t="s">
        <v>55</v>
      </c>
    </row>
    <row r="218" customFormat="false" ht="21.75" hidden="false" customHeight="true" outlineLevel="0" collapsed="false">
      <c r="B218" s="15" t="s">
        <v>1446</v>
      </c>
      <c r="C218" s="16" t="s">
        <v>32</v>
      </c>
      <c r="D218" s="17" t="s">
        <v>1447</v>
      </c>
      <c r="E218" s="18" t="s">
        <v>1448</v>
      </c>
      <c r="F218" s="7" t="s">
        <v>19</v>
      </c>
      <c r="G218" s="7" t="s">
        <v>55</v>
      </c>
    </row>
    <row r="219" customFormat="false" ht="21.75" hidden="false" customHeight="true" outlineLevel="0" collapsed="false">
      <c r="B219" s="11" t="s">
        <v>1449</v>
      </c>
      <c r="C219" s="12" t="s">
        <v>32</v>
      </c>
      <c r="D219" s="13" t="s">
        <v>1450</v>
      </c>
      <c r="E219" s="14" t="s">
        <v>1451</v>
      </c>
      <c r="F219" s="5" t="s">
        <v>12</v>
      </c>
      <c r="G219" s="5" t="s">
        <v>55</v>
      </c>
    </row>
    <row r="220" customFormat="false" ht="21.75" hidden="false" customHeight="true" outlineLevel="0" collapsed="false">
      <c r="B220" s="15" t="s">
        <v>1452</v>
      </c>
      <c r="C220" s="16" t="s">
        <v>34</v>
      </c>
      <c r="D220" s="17" t="s">
        <v>1453</v>
      </c>
      <c r="E220" s="18" t="s">
        <v>1454</v>
      </c>
      <c r="F220" s="7" t="s">
        <v>12</v>
      </c>
      <c r="G220" s="7" t="s">
        <v>55</v>
      </c>
    </row>
    <row r="221" customFormat="false" ht="21.75" hidden="false" customHeight="true" outlineLevel="0" collapsed="false">
      <c r="B221" s="11" t="s">
        <v>1455</v>
      </c>
      <c r="C221" s="12" t="s">
        <v>34</v>
      </c>
      <c r="D221" s="13" t="s">
        <v>1456</v>
      </c>
      <c r="E221" s="14" t="s">
        <v>1457</v>
      </c>
      <c r="F221" s="5" t="s">
        <v>19</v>
      </c>
      <c r="G221" s="5" t="s">
        <v>55</v>
      </c>
    </row>
    <row r="222" customFormat="false" ht="21.75" hidden="false" customHeight="true" outlineLevel="0" collapsed="false">
      <c r="B222" s="15" t="s">
        <v>1458</v>
      </c>
      <c r="C222" s="16" t="s">
        <v>34</v>
      </c>
      <c r="D222" s="17" t="s">
        <v>1459</v>
      </c>
      <c r="E222" s="18" t="s">
        <v>1460</v>
      </c>
      <c r="F222" s="7" t="s">
        <v>12</v>
      </c>
      <c r="G222" s="7" t="s">
        <v>55</v>
      </c>
    </row>
    <row r="223" customFormat="false" ht="21.75" hidden="false" customHeight="true" outlineLevel="0" collapsed="false">
      <c r="B223" s="11" t="s">
        <v>1461</v>
      </c>
      <c r="C223" s="12" t="s">
        <v>34</v>
      </c>
      <c r="D223" s="13" t="s">
        <v>1462</v>
      </c>
      <c r="E223" s="14" t="s">
        <v>1463</v>
      </c>
      <c r="F223" s="5" t="s">
        <v>12</v>
      </c>
      <c r="G223" s="5" t="s">
        <v>55</v>
      </c>
    </row>
    <row r="224" customFormat="false" ht="21.75" hidden="false" customHeight="true" outlineLevel="0" collapsed="false">
      <c r="B224" s="15" t="s">
        <v>1464</v>
      </c>
      <c r="C224" s="16" t="s">
        <v>34</v>
      </c>
      <c r="D224" s="17" t="s">
        <v>1465</v>
      </c>
      <c r="E224" s="18" t="s">
        <v>1466</v>
      </c>
      <c r="F224" s="7" t="s">
        <v>12</v>
      </c>
      <c r="G224" s="7" t="s">
        <v>55</v>
      </c>
    </row>
    <row r="225" customFormat="false" ht="21.75" hidden="false" customHeight="true" outlineLevel="0" collapsed="false">
      <c r="B225" s="11" t="s">
        <v>1467</v>
      </c>
      <c r="C225" s="12" t="s">
        <v>34</v>
      </c>
      <c r="D225" s="13" t="s">
        <v>1468</v>
      </c>
      <c r="E225" s="14" t="s">
        <v>1469</v>
      </c>
      <c r="F225" s="5" t="s">
        <v>12</v>
      </c>
      <c r="G225" s="5" t="s">
        <v>62</v>
      </c>
    </row>
    <row r="226" customFormat="false" ht="21.75" hidden="false" customHeight="true" outlineLevel="0" collapsed="false">
      <c r="B226" s="15" t="s">
        <v>1470</v>
      </c>
      <c r="C226" s="16" t="s">
        <v>34</v>
      </c>
      <c r="D226" s="17" t="s">
        <v>1471</v>
      </c>
      <c r="E226" s="18" t="s">
        <v>1472</v>
      </c>
      <c r="F226" s="7" t="s">
        <v>20</v>
      </c>
      <c r="G226" s="7" t="s">
        <v>62</v>
      </c>
    </row>
    <row r="227" customFormat="false" ht="21.75" hidden="false" customHeight="true" outlineLevel="0" collapsed="false">
      <c r="B227" s="11" t="s">
        <v>1473</v>
      </c>
      <c r="C227" s="12" t="s">
        <v>34</v>
      </c>
      <c r="D227" s="13" t="s">
        <v>1474</v>
      </c>
      <c r="E227" s="14" t="s">
        <v>1475</v>
      </c>
      <c r="F227" s="5" t="s">
        <v>19</v>
      </c>
      <c r="G227" s="5" t="s">
        <v>55</v>
      </c>
    </row>
    <row r="228" customFormat="false" ht="21.75" hidden="false" customHeight="true" outlineLevel="0" collapsed="false">
      <c r="B228" s="15" t="s">
        <v>1476</v>
      </c>
      <c r="C228" s="16" t="s">
        <v>34</v>
      </c>
      <c r="D228" s="17" t="s">
        <v>1477</v>
      </c>
      <c r="E228" s="18" t="s">
        <v>1478</v>
      </c>
      <c r="F228" s="7" t="s">
        <v>19</v>
      </c>
      <c r="G228" s="7" t="s">
        <v>55</v>
      </c>
    </row>
    <row r="229" customFormat="false" ht="21.75" hidden="false" customHeight="true" outlineLevel="0" collapsed="false">
      <c r="B229" s="11" t="s">
        <v>1479</v>
      </c>
      <c r="C229" s="12" t="s">
        <v>34</v>
      </c>
      <c r="D229" s="13" t="s">
        <v>1480</v>
      </c>
      <c r="E229" s="14" t="s">
        <v>1481</v>
      </c>
      <c r="F229" s="5" t="s">
        <v>12</v>
      </c>
      <c r="G229" s="5" t="s">
        <v>229</v>
      </c>
    </row>
    <row r="230" customFormat="false" ht="21.75" hidden="false" customHeight="true" outlineLevel="0" collapsed="false">
      <c r="B230" s="15" t="s">
        <v>1482</v>
      </c>
      <c r="C230" s="16" t="s">
        <v>34</v>
      </c>
      <c r="D230" s="17" t="s">
        <v>1483</v>
      </c>
      <c r="E230" s="18" t="s">
        <v>1484</v>
      </c>
      <c r="F230" s="7" t="s">
        <v>20</v>
      </c>
      <c r="G230" s="7" t="s">
        <v>229</v>
      </c>
    </row>
    <row r="231" customFormat="false" ht="21.75" hidden="false" customHeight="true" outlineLevel="0" collapsed="false">
      <c r="B231" s="11" t="s">
        <v>1485</v>
      </c>
      <c r="C231" s="12" t="s">
        <v>34</v>
      </c>
      <c r="D231" s="13" t="s">
        <v>1486</v>
      </c>
      <c r="E231" s="14" t="s">
        <v>1487</v>
      </c>
      <c r="F231" s="5" t="s">
        <v>19</v>
      </c>
      <c r="G231" s="5" t="s">
        <v>55</v>
      </c>
    </row>
    <row r="232" customFormat="false" ht="21.75" hidden="false" customHeight="true" outlineLevel="0" collapsed="false">
      <c r="B232" s="15" t="s">
        <v>1488</v>
      </c>
      <c r="C232" s="16" t="s">
        <v>34</v>
      </c>
      <c r="D232" s="17" t="s">
        <v>1489</v>
      </c>
      <c r="E232" s="18" t="s">
        <v>1490</v>
      </c>
      <c r="F232" s="7" t="s">
        <v>19</v>
      </c>
      <c r="G232" s="7" t="s">
        <v>123</v>
      </c>
    </row>
    <row r="233" customFormat="false" ht="21.75" hidden="false" customHeight="true" outlineLevel="0" collapsed="false">
      <c r="B233" s="11" t="s">
        <v>1491</v>
      </c>
      <c r="C233" s="12" t="s">
        <v>34</v>
      </c>
      <c r="D233" s="13" t="s">
        <v>1492</v>
      </c>
      <c r="E233" s="14" t="s">
        <v>1493</v>
      </c>
      <c r="F233" s="5" t="s">
        <v>19</v>
      </c>
      <c r="G233" s="5" t="s">
        <v>55</v>
      </c>
    </row>
    <row r="234" customFormat="false" ht="21.75" hidden="false" customHeight="true" outlineLevel="0" collapsed="false">
      <c r="B234" s="15" t="s">
        <v>1494</v>
      </c>
      <c r="C234" s="16" t="s">
        <v>34</v>
      </c>
      <c r="D234" s="17" t="s">
        <v>1495</v>
      </c>
      <c r="E234" s="18" t="s">
        <v>1496</v>
      </c>
      <c r="F234" s="7" t="s">
        <v>19</v>
      </c>
      <c r="G234" s="7" t="s">
        <v>62</v>
      </c>
    </row>
    <row r="235" customFormat="false" ht="21.75" hidden="false" customHeight="true" outlineLevel="0" collapsed="false">
      <c r="B235" s="11" t="s">
        <v>1497</v>
      </c>
      <c r="C235" s="12" t="s">
        <v>34</v>
      </c>
      <c r="D235" s="13" t="s">
        <v>1498</v>
      </c>
      <c r="E235" s="14" t="s">
        <v>1499</v>
      </c>
      <c r="F235" s="5" t="s">
        <v>19</v>
      </c>
      <c r="G235" s="5" t="s">
        <v>55</v>
      </c>
    </row>
    <row r="236" customFormat="false" ht="21.75" hidden="false" customHeight="true" outlineLevel="0" collapsed="false">
      <c r="B236" s="15" t="s">
        <v>1500</v>
      </c>
      <c r="C236" s="16" t="s">
        <v>34</v>
      </c>
      <c r="D236" s="17" t="s">
        <v>1501</v>
      </c>
      <c r="E236" s="18" t="s">
        <v>1502</v>
      </c>
      <c r="F236" s="7" t="s">
        <v>19</v>
      </c>
      <c r="G236" s="7" t="s">
        <v>55</v>
      </c>
    </row>
    <row r="237" customFormat="false" ht="21.75" hidden="false" customHeight="true" outlineLevel="0" collapsed="false">
      <c r="B237" s="11" t="s">
        <v>1503</v>
      </c>
      <c r="C237" s="12" t="s">
        <v>34</v>
      </c>
      <c r="D237" s="13" t="s">
        <v>1504</v>
      </c>
      <c r="E237" s="14" t="s">
        <v>1505</v>
      </c>
      <c r="F237" s="5" t="s">
        <v>19</v>
      </c>
      <c r="G237" s="5" t="s">
        <v>123</v>
      </c>
    </row>
    <row r="238" customFormat="false" ht="21.75" hidden="false" customHeight="true" outlineLevel="0" collapsed="false">
      <c r="B238" s="15" t="s">
        <v>1506</v>
      </c>
      <c r="C238" s="16" t="s">
        <v>34</v>
      </c>
      <c r="D238" s="17" t="s">
        <v>1507</v>
      </c>
      <c r="E238" s="18" t="s">
        <v>1508</v>
      </c>
      <c r="F238" s="7" t="s">
        <v>12</v>
      </c>
      <c r="G238" s="7" t="s">
        <v>55</v>
      </c>
    </row>
    <row r="239" customFormat="false" ht="21.75" hidden="false" customHeight="true" outlineLevel="0" collapsed="false">
      <c r="B239" s="11" t="s">
        <v>1509</v>
      </c>
      <c r="C239" s="12" t="s">
        <v>34</v>
      </c>
      <c r="D239" s="13" t="s">
        <v>1510</v>
      </c>
      <c r="E239" s="14" t="s">
        <v>1511</v>
      </c>
      <c r="F239" s="5" t="s">
        <v>19</v>
      </c>
      <c r="G239" s="5" t="s">
        <v>123</v>
      </c>
    </row>
    <row r="240" customFormat="false" ht="21.75" hidden="false" customHeight="true" outlineLevel="0" collapsed="false">
      <c r="B240" s="15" t="s">
        <v>1512</v>
      </c>
      <c r="C240" s="16" t="s">
        <v>34</v>
      </c>
      <c r="D240" s="17" t="s">
        <v>1513</v>
      </c>
      <c r="E240" s="18" t="s">
        <v>1514</v>
      </c>
      <c r="F240" s="7" t="s">
        <v>19</v>
      </c>
      <c r="G240" s="7" t="s">
        <v>55</v>
      </c>
    </row>
    <row r="241" customFormat="false" ht="21.75" hidden="false" customHeight="true" outlineLevel="0" collapsed="false">
      <c r="B241" s="11" t="s">
        <v>1515</v>
      </c>
      <c r="C241" s="12" t="s">
        <v>34</v>
      </c>
      <c r="D241" s="13" t="s">
        <v>1516</v>
      </c>
      <c r="E241" s="14" t="s">
        <v>1517</v>
      </c>
      <c r="F241" s="5" t="s">
        <v>12</v>
      </c>
      <c r="G241" s="5" t="s">
        <v>62</v>
      </c>
    </row>
    <row r="242" customFormat="false" ht="21.75" hidden="false" customHeight="true" outlineLevel="0" collapsed="false">
      <c r="B242" s="15" t="s">
        <v>1518</v>
      </c>
      <c r="C242" s="16" t="s">
        <v>34</v>
      </c>
      <c r="D242" s="17" t="s">
        <v>1519</v>
      </c>
      <c r="E242" s="18" t="s">
        <v>1520</v>
      </c>
      <c r="F242" s="7" t="s">
        <v>12</v>
      </c>
      <c r="G242" s="7" t="s">
        <v>62</v>
      </c>
    </row>
    <row r="243" customFormat="false" ht="21.75" hidden="false" customHeight="true" outlineLevel="0" collapsed="false">
      <c r="B243" s="11" t="s">
        <v>1521</v>
      </c>
      <c r="C243" s="12" t="s">
        <v>34</v>
      </c>
      <c r="D243" s="13" t="s">
        <v>1522</v>
      </c>
      <c r="E243" s="14" t="s">
        <v>1523</v>
      </c>
      <c r="F243" s="5" t="s">
        <v>19</v>
      </c>
      <c r="G243" s="5" t="s">
        <v>55</v>
      </c>
    </row>
    <row r="244" customFormat="false" ht="21.75" hidden="false" customHeight="true" outlineLevel="0" collapsed="false">
      <c r="B244" s="15" t="s">
        <v>1524</v>
      </c>
      <c r="C244" s="16" t="s">
        <v>34</v>
      </c>
      <c r="D244" s="17" t="s">
        <v>1525</v>
      </c>
      <c r="E244" s="18" t="s">
        <v>1526</v>
      </c>
      <c r="F244" s="7" t="s">
        <v>19</v>
      </c>
      <c r="G244" s="7" t="s">
        <v>55</v>
      </c>
    </row>
    <row r="245" customFormat="false" ht="21.75" hidden="false" customHeight="true" outlineLevel="0" collapsed="false">
      <c r="B245" s="11" t="s">
        <v>1527</v>
      </c>
      <c r="C245" s="12" t="s">
        <v>34</v>
      </c>
      <c r="D245" s="13" t="s">
        <v>1528</v>
      </c>
      <c r="E245" s="14" t="s">
        <v>1529</v>
      </c>
      <c r="F245" s="5" t="s">
        <v>12</v>
      </c>
      <c r="G245" s="5" t="s">
        <v>55</v>
      </c>
    </row>
    <row r="246" customFormat="false" ht="21.75" hidden="false" customHeight="true" outlineLevel="0" collapsed="false">
      <c r="B246" s="15" t="s">
        <v>1530</v>
      </c>
      <c r="C246" s="16" t="s">
        <v>34</v>
      </c>
      <c r="D246" s="17" t="s">
        <v>1531</v>
      </c>
      <c r="E246" s="18" t="s">
        <v>1532</v>
      </c>
      <c r="F246" s="7" t="s">
        <v>19</v>
      </c>
      <c r="G246" s="7" t="s">
        <v>55</v>
      </c>
    </row>
    <row r="247" customFormat="false" ht="21.75" hidden="false" customHeight="true" outlineLevel="0" collapsed="false">
      <c r="B247" s="11" t="s">
        <v>1533</v>
      </c>
      <c r="C247" s="12" t="s">
        <v>34</v>
      </c>
      <c r="D247" s="13" t="s">
        <v>1534</v>
      </c>
      <c r="E247" s="14" t="s">
        <v>1535</v>
      </c>
      <c r="F247" s="5" t="s">
        <v>19</v>
      </c>
      <c r="G247" s="5" t="s">
        <v>123</v>
      </c>
    </row>
    <row r="248" customFormat="false" ht="21.75" hidden="false" customHeight="true" outlineLevel="0" collapsed="false">
      <c r="B248" s="15" t="s">
        <v>1536</v>
      </c>
      <c r="C248" s="16" t="s">
        <v>34</v>
      </c>
      <c r="D248" s="17" t="s">
        <v>1537</v>
      </c>
      <c r="E248" s="18" t="s">
        <v>1538</v>
      </c>
      <c r="F248" s="7" t="s">
        <v>19</v>
      </c>
      <c r="G248" s="7" t="s">
        <v>55</v>
      </c>
    </row>
    <row r="249" customFormat="false" ht="21.75" hidden="false" customHeight="true" outlineLevel="0" collapsed="false">
      <c r="B249" s="11" t="s">
        <v>1539</v>
      </c>
      <c r="C249" s="12" t="s">
        <v>34</v>
      </c>
      <c r="D249" s="13" t="s">
        <v>1540</v>
      </c>
      <c r="E249" s="14" t="s">
        <v>1541</v>
      </c>
      <c r="F249" s="5" t="s">
        <v>12</v>
      </c>
      <c r="G249" s="5" t="s">
        <v>62</v>
      </c>
    </row>
    <row r="250" customFormat="false" ht="21.75" hidden="false" customHeight="true" outlineLevel="0" collapsed="false">
      <c r="B250" s="15" t="s">
        <v>1542</v>
      </c>
      <c r="C250" s="16" t="s">
        <v>34</v>
      </c>
      <c r="D250" s="17" t="s">
        <v>1543</v>
      </c>
      <c r="E250" s="18" t="s">
        <v>1544</v>
      </c>
      <c r="F250" s="7" t="s">
        <v>19</v>
      </c>
      <c r="G250" s="7" t="s">
        <v>55</v>
      </c>
    </row>
    <row r="251" customFormat="false" ht="21.75" hidden="false" customHeight="true" outlineLevel="0" collapsed="false">
      <c r="B251" s="11" t="s">
        <v>1545</v>
      </c>
      <c r="C251" s="12" t="s">
        <v>34</v>
      </c>
      <c r="D251" s="13" t="s">
        <v>1546</v>
      </c>
      <c r="E251" s="14" t="s">
        <v>1547</v>
      </c>
      <c r="F251" s="5" t="s">
        <v>19</v>
      </c>
      <c r="G251" s="5" t="s">
        <v>62</v>
      </c>
    </row>
    <row r="252" customFormat="false" ht="21.75" hidden="false" customHeight="true" outlineLevel="0" collapsed="false">
      <c r="B252" s="15" t="s">
        <v>1548</v>
      </c>
      <c r="C252" s="16" t="s">
        <v>34</v>
      </c>
      <c r="D252" s="17" t="s">
        <v>1549</v>
      </c>
      <c r="E252" s="18" t="s">
        <v>1550</v>
      </c>
      <c r="F252" s="7" t="s">
        <v>20</v>
      </c>
      <c r="G252" s="7" t="s">
        <v>62</v>
      </c>
    </row>
    <row r="253" customFormat="false" ht="21.75" hidden="false" customHeight="true" outlineLevel="0" collapsed="false">
      <c r="B253" s="11" t="s">
        <v>1551</v>
      </c>
      <c r="C253" s="12" t="s">
        <v>34</v>
      </c>
      <c r="D253" s="13" t="s">
        <v>1552</v>
      </c>
      <c r="E253" s="14" t="s">
        <v>1553</v>
      </c>
      <c r="F253" s="5" t="s">
        <v>12</v>
      </c>
      <c r="G253" s="5" t="s">
        <v>62</v>
      </c>
    </row>
    <row r="254" customFormat="false" ht="21.75" hidden="false" customHeight="true" outlineLevel="0" collapsed="false">
      <c r="B254" s="15" t="s">
        <v>1554</v>
      </c>
      <c r="C254" s="16" t="s">
        <v>34</v>
      </c>
      <c r="D254" s="17" t="s">
        <v>1555</v>
      </c>
      <c r="E254" s="18" t="s">
        <v>1556</v>
      </c>
      <c r="F254" s="7" t="s">
        <v>12</v>
      </c>
      <c r="G254" s="7" t="s">
        <v>55</v>
      </c>
    </row>
  </sheetData>
  <autoFilter ref="B4:G254"/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62"/>
    <col collapsed="false" customWidth="true" hidden="false" outlineLevel="0" max="6" min="6" style="0" width="11"/>
    <col collapsed="false" customWidth="true" hidden="false" outlineLevel="0" max="7" min="7" style="0" width="1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1557</v>
      </c>
      <c r="C2" s="1"/>
      <c r="D2" s="1"/>
      <c r="E2" s="1"/>
      <c r="F2" s="1"/>
      <c r="G2" s="1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48</v>
      </c>
      <c r="C4" s="3" t="s">
        <v>22</v>
      </c>
      <c r="D4" s="3" t="s">
        <v>49</v>
      </c>
      <c r="E4" s="3" t="s">
        <v>50</v>
      </c>
      <c r="F4" s="3" t="s">
        <v>18</v>
      </c>
      <c r="G4" s="3" t="s">
        <v>51</v>
      </c>
    </row>
    <row r="5" customFormat="false" ht="21.75" hidden="false" customHeight="true" outlineLevel="0" collapsed="false">
      <c r="B5" s="11" t="s">
        <v>1558</v>
      </c>
      <c r="C5" s="12" t="s">
        <v>43</v>
      </c>
      <c r="D5" s="13" t="s">
        <v>1559</v>
      </c>
      <c r="E5" s="14" t="s">
        <v>1560</v>
      </c>
      <c r="F5" s="5" t="s">
        <v>19</v>
      </c>
      <c r="G5" s="5" t="s">
        <v>55</v>
      </c>
    </row>
    <row r="6" customFormat="false" ht="21.75" hidden="false" customHeight="true" outlineLevel="0" collapsed="false">
      <c r="B6" s="15" t="s">
        <v>1561</v>
      </c>
      <c r="C6" s="16" t="s">
        <v>43</v>
      </c>
      <c r="D6" s="17" t="s">
        <v>1562</v>
      </c>
      <c r="E6" s="18" t="s">
        <v>1563</v>
      </c>
      <c r="F6" s="7" t="s">
        <v>19</v>
      </c>
      <c r="G6" s="7" t="s">
        <v>123</v>
      </c>
    </row>
    <row r="7" customFormat="false" ht="21.75" hidden="false" customHeight="true" outlineLevel="0" collapsed="false">
      <c r="B7" s="11" t="s">
        <v>1564</v>
      </c>
      <c r="C7" s="12" t="s">
        <v>43</v>
      </c>
      <c r="D7" s="13" t="s">
        <v>1565</v>
      </c>
      <c r="E7" s="14" t="s">
        <v>1566</v>
      </c>
      <c r="F7" s="5" t="s">
        <v>19</v>
      </c>
      <c r="G7" s="5" t="s">
        <v>55</v>
      </c>
    </row>
    <row r="8" customFormat="false" ht="21.75" hidden="false" customHeight="true" outlineLevel="0" collapsed="false">
      <c r="B8" s="15" t="s">
        <v>1567</v>
      </c>
      <c r="C8" s="16" t="s">
        <v>43</v>
      </c>
      <c r="D8" s="17" t="s">
        <v>1568</v>
      </c>
      <c r="E8" s="18" t="s">
        <v>1569</v>
      </c>
      <c r="F8" s="7" t="s">
        <v>19</v>
      </c>
      <c r="G8" s="7" t="s">
        <v>123</v>
      </c>
    </row>
    <row r="9" customFormat="false" ht="21.75" hidden="false" customHeight="true" outlineLevel="0" collapsed="false">
      <c r="B9" s="11" t="s">
        <v>1570</v>
      </c>
      <c r="C9" s="12" t="s">
        <v>43</v>
      </c>
      <c r="D9" s="13" t="s">
        <v>1571</v>
      </c>
      <c r="E9" s="14" t="s">
        <v>1572</v>
      </c>
      <c r="F9" s="5" t="s">
        <v>19</v>
      </c>
      <c r="G9" s="5" t="s">
        <v>55</v>
      </c>
    </row>
    <row r="10" customFormat="false" ht="21.75" hidden="false" customHeight="true" outlineLevel="0" collapsed="false">
      <c r="B10" s="15" t="s">
        <v>1573</v>
      </c>
      <c r="C10" s="16" t="s">
        <v>43</v>
      </c>
      <c r="D10" s="17" t="s">
        <v>1574</v>
      </c>
      <c r="E10" s="18" t="s">
        <v>1575</v>
      </c>
      <c r="F10" s="7" t="s">
        <v>19</v>
      </c>
      <c r="G10" s="7" t="s">
        <v>55</v>
      </c>
    </row>
    <row r="11" customFormat="false" ht="21.75" hidden="false" customHeight="true" outlineLevel="0" collapsed="false">
      <c r="B11" s="11" t="s">
        <v>1576</v>
      </c>
      <c r="C11" s="12" t="s">
        <v>43</v>
      </c>
      <c r="D11" s="13" t="s">
        <v>1577</v>
      </c>
      <c r="E11" s="14" t="s">
        <v>1578</v>
      </c>
      <c r="F11" s="5" t="s">
        <v>19</v>
      </c>
      <c r="G11" s="5" t="s">
        <v>55</v>
      </c>
    </row>
    <row r="12" customFormat="false" ht="21.75" hidden="false" customHeight="true" outlineLevel="0" collapsed="false">
      <c r="B12" s="15" t="s">
        <v>1579</v>
      </c>
      <c r="C12" s="16" t="s">
        <v>43</v>
      </c>
      <c r="D12" s="17" t="s">
        <v>1580</v>
      </c>
      <c r="E12" s="18" t="s">
        <v>1581</v>
      </c>
      <c r="F12" s="7" t="s">
        <v>19</v>
      </c>
      <c r="G12" s="7" t="s">
        <v>123</v>
      </c>
    </row>
    <row r="13" customFormat="false" ht="21.75" hidden="false" customHeight="true" outlineLevel="0" collapsed="false">
      <c r="B13" s="11" t="s">
        <v>1582</v>
      </c>
      <c r="C13" s="12" t="s">
        <v>43</v>
      </c>
      <c r="D13" s="13" t="s">
        <v>1583</v>
      </c>
      <c r="E13" s="14" t="s">
        <v>1584</v>
      </c>
      <c r="F13" s="5" t="s">
        <v>19</v>
      </c>
      <c r="G13" s="5" t="s">
        <v>62</v>
      </c>
    </row>
    <row r="14" customFormat="false" ht="21.75" hidden="false" customHeight="true" outlineLevel="0" collapsed="false">
      <c r="B14" s="15" t="s">
        <v>1585</v>
      </c>
      <c r="C14" s="16" t="s">
        <v>43</v>
      </c>
      <c r="D14" s="17" t="s">
        <v>1586</v>
      </c>
      <c r="E14" s="18" t="s">
        <v>1587</v>
      </c>
      <c r="F14" s="7" t="s">
        <v>19</v>
      </c>
      <c r="G14" s="7" t="s">
        <v>55</v>
      </c>
    </row>
    <row r="15" customFormat="false" ht="21.75" hidden="false" customHeight="true" outlineLevel="0" collapsed="false">
      <c r="B15" s="11" t="s">
        <v>1588</v>
      </c>
      <c r="C15" s="12" t="s">
        <v>43</v>
      </c>
      <c r="D15" s="13" t="s">
        <v>1589</v>
      </c>
      <c r="E15" s="14" t="s">
        <v>1590</v>
      </c>
      <c r="F15" s="5" t="s">
        <v>19</v>
      </c>
      <c r="G15" s="5" t="s">
        <v>123</v>
      </c>
    </row>
    <row r="16" customFormat="false" ht="21.75" hidden="false" customHeight="true" outlineLevel="0" collapsed="false">
      <c r="B16" s="15" t="s">
        <v>1591</v>
      </c>
      <c r="C16" s="16" t="s">
        <v>43</v>
      </c>
      <c r="D16" s="17" t="s">
        <v>1592</v>
      </c>
      <c r="E16" s="18" t="s">
        <v>1593</v>
      </c>
      <c r="F16" s="7" t="s">
        <v>19</v>
      </c>
      <c r="G16" s="7" t="s">
        <v>229</v>
      </c>
    </row>
    <row r="17" customFormat="false" ht="21.75" hidden="false" customHeight="true" outlineLevel="0" collapsed="false">
      <c r="B17" s="11" t="s">
        <v>1594</v>
      </c>
      <c r="C17" s="12" t="s">
        <v>43</v>
      </c>
      <c r="D17" s="13" t="s">
        <v>1595</v>
      </c>
      <c r="E17" s="14" t="s">
        <v>1596</v>
      </c>
      <c r="F17" s="5" t="s">
        <v>19</v>
      </c>
      <c r="G17" s="5" t="s">
        <v>55</v>
      </c>
    </row>
    <row r="18" customFormat="false" ht="21.75" hidden="false" customHeight="true" outlineLevel="0" collapsed="false">
      <c r="B18" s="15" t="s">
        <v>1597</v>
      </c>
      <c r="C18" s="16" t="s">
        <v>43</v>
      </c>
      <c r="D18" s="17" t="s">
        <v>1598</v>
      </c>
      <c r="E18" s="18" t="s">
        <v>1599</v>
      </c>
      <c r="F18" s="7" t="s">
        <v>19</v>
      </c>
      <c r="G18" s="7" t="s">
        <v>55</v>
      </c>
    </row>
    <row r="19" customFormat="false" ht="21.75" hidden="false" customHeight="true" outlineLevel="0" collapsed="false">
      <c r="B19" s="11" t="s">
        <v>1600</v>
      </c>
      <c r="C19" s="12" t="s">
        <v>43</v>
      </c>
      <c r="D19" s="13" t="s">
        <v>1601</v>
      </c>
      <c r="E19" s="14" t="s">
        <v>1602</v>
      </c>
      <c r="F19" s="5" t="s">
        <v>19</v>
      </c>
      <c r="G19" s="5" t="s">
        <v>62</v>
      </c>
    </row>
    <row r="20" customFormat="false" ht="21.75" hidden="false" customHeight="true" outlineLevel="0" collapsed="false">
      <c r="B20" s="15" t="s">
        <v>1603</v>
      </c>
      <c r="C20" s="16" t="s">
        <v>43</v>
      </c>
      <c r="D20" s="17" t="s">
        <v>1604</v>
      </c>
      <c r="E20" s="18" t="s">
        <v>1605</v>
      </c>
      <c r="F20" s="7" t="s">
        <v>19</v>
      </c>
      <c r="G20" s="7" t="s">
        <v>55</v>
      </c>
    </row>
    <row r="21" customFormat="false" ht="21.75" hidden="false" customHeight="true" outlineLevel="0" collapsed="false">
      <c r="B21" s="11" t="s">
        <v>1606</v>
      </c>
      <c r="C21" s="12" t="s">
        <v>43</v>
      </c>
      <c r="D21" s="13" t="s">
        <v>1607</v>
      </c>
      <c r="E21" s="14" t="s">
        <v>1608</v>
      </c>
      <c r="F21" s="5" t="s">
        <v>19</v>
      </c>
      <c r="G21" s="5" t="s">
        <v>229</v>
      </c>
    </row>
    <row r="22" customFormat="false" ht="21.75" hidden="false" customHeight="true" outlineLevel="0" collapsed="false">
      <c r="B22" s="15" t="s">
        <v>1609</v>
      </c>
      <c r="C22" s="16" t="s">
        <v>43</v>
      </c>
      <c r="D22" s="17" t="s">
        <v>1610</v>
      </c>
      <c r="E22" s="18" t="s">
        <v>1611</v>
      </c>
      <c r="F22" s="7" t="s">
        <v>19</v>
      </c>
      <c r="G22" s="7" t="s">
        <v>229</v>
      </c>
    </row>
    <row r="23" customFormat="false" ht="21.75" hidden="false" customHeight="true" outlineLevel="0" collapsed="false">
      <c r="B23" s="11" t="s">
        <v>1612</v>
      </c>
      <c r="C23" s="12" t="s">
        <v>43</v>
      </c>
      <c r="D23" s="13" t="s">
        <v>1613</v>
      </c>
      <c r="E23" s="14" t="s">
        <v>1614</v>
      </c>
      <c r="F23" s="5" t="s">
        <v>19</v>
      </c>
      <c r="G23" s="5" t="s">
        <v>55</v>
      </c>
    </row>
    <row r="24" customFormat="false" ht="21.75" hidden="false" customHeight="true" outlineLevel="0" collapsed="false">
      <c r="B24" s="15" t="s">
        <v>1615</v>
      </c>
      <c r="C24" s="16" t="s">
        <v>43</v>
      </c>
      <c r="D24" s="17" t="s">
        <v>1616</v>
      </c>
      <c r="E24" s="18" t="s">
        <v>1617</v>
      </c>
      <c r="F24" s="7" t="s">
        <v>19</v>
      </c>
      <c r="G24" s="7" t="s">
        <v>229</v>
      </c>
    </row>
    <row r="25" customFormat="false" ht="21.75" hidden="false" customHeight="true" outlineLevel="0" collapsed="false">
      <c r="B25" s="11" t="s">
        <v>1618</v>
      </c>
      <c r="C25" s="12" t="s">
        <v>43</v>
      </c>
      <c r="D25" s="13" t="s">
        <v>1619</v>
      </c>
      <c r="E25" s="14" t="s">
        <v>1620</v>
      </c>
      <c r="F25" s="5" t="s">
        <v>19</v>
      </c>
      <c r="G25" s="5" t="s">
        <v>55</v>
      </c>
    </row>
    <row r="26" customFormat="false" ht="21.75" hidden="false" customHeight="true" outlineLevel="0" collapsed="false">
      <c r="B26" s="15" t="s">
        <v>1621</v>
      </c>
      <c r="C26" s="16" t="s">
        <v>43</v>
      </c>
      <c r="D26" s="17" t="s">
        <v>1622</v>
      </c>
      <c r="E26" s="18" t="s">
        <v>1623</v>
      </c>
      <c r="F26" s="7" t="s">
        <v>19</v>
      </c>
      <c r="G26" s="7" t="s">
        <v>62</v>
      </c>
    </row>
    <row r="27" customFormat="false" ht="21.75" hidden="false" customHeight="true" outlineLevel="0" collapsed="false">
      <c r="B27" s="11" t="s">
        <v>1624</v>
      </c>
      <c r="C27" s="12" t="s">
        <v>43</v>
      </c>
      <c r="D27" s="13" t="s">
        <v>1625</v>
      </c>
      <c r="E27" s="14" t="s">
        <v>1626</v>
      </c>
      <c r="F27" s="5" t="s">
        <v>19</v>
      </c>
      <c r="G27" s="5" t="s">
        <v>62</v>
      </c>
    </row>
    <row r="28" customFormat="false" ht="21.75" hidden="false" customHeight="true" outlineLevel="0" collapsed="false">
      <c r="B28" s="15" t="s">
        <v>1627</v>
      </c>
      <c r="C28" s="16" t="s">
        <v>43</v>
      </c>
      <c r="D28" s="17" t="s">
        <v>1628</v>
      </c>
      <c r="E28" s="18" t="s">
        <v>1629</v>
      </c>
      <c r="F28" s="7" t="s">
        <v>19</v>
      </c>
      <c r="G28" s="7" t="s">
        <v>55</v>
      </c>
    </row>
    <row r="29" customFormat="false" ht="21.75" hidden="false" customHeight="true" outlineLevel="0" collapsed="false">
      <c r="B29" s="11" t="s">
        <v>1630</v>
      </c>
      <c r="C29" s="12" t="s">
        <v>43</v>
      </c>
      <c r="D29" s="13" t="s">
        <v>1631</v>
      </c>
      <c r="E29" s="14" t="s">
        <v>1632</v>
      </c>
      <c r="F29" s="5" t="s">
        <v>19</v>
      </c>
      <c r="G29" s="5" t="s">
        <v>55</v>
      </c>
    </row>
    <row r="30" customFormat="false" ht="21.75" hidden="false" customHeight="true" outlineLevel="0" collapsed="false">
      <c r="B30" s="15" t="s">
        <v>1633</v>
      </c>
      <c r="C30" s="16" t="s">
        <v>43</v>
      </c>
      <c r="D30" s="17" t="s">
        <v>1634</v>
      </c>
      <c r="E30" s="18" t="s">
        <v>1635</v>
      </c>
      <c r="F30" s="7" t="s">
        <v>19</v>
      </c>
      <c r="G30" s="7" t="s">
        <v>55</v>
      </c>
    </row>
    <row r="31" customFormat="false" ht="21.75" hidden="false" customHeight="true" outlineLevel="0" collapsed="false">
      <c r="B31" s="11" t="s">
        <v>1636</v>
      </c>
      <c r="C31" s="12" t="s">
        <v>43</v>
      </c>
      <c r="D31" s="13" t="s">
        <v>1637</v>
      </c>
      <c r="E31" s="14" t="s">
        <v>1638</v>
      </c>
      <c r="F31" s="5" t="s">
        <v>19</v>
      </c>
      <c r="G31" s="5" t="s">
        <v>55</v>
      </c>
    </row>
    <row r="32" customFormat="false" ht="21.75" hidden="false" customHeight="true" outlineLevel="0" collapsed="false">
      <c r="B32" s="15" t="s">
        <v>1639</v>
      </c>
      <c r="C32" s="16" t="s">
        <v>43</v>
      </c>
      <c r="D32" s="17" t="s">
        <v>1640</v>
      </c>
      <c r="E32" s="18" t="s">
        <v>1641</v>
      </c>
      <c r="F32" s="7" t="s">
        <v>19</v>
      </c>
      <c r="G32" s="7" t="s">
        <v>123</v>
      </c>
    </row>
    <row r="33" customFormat="false" ht="21.75" hidden="false" customHeight="true" outlineLevel="0" collapsed="false">
      <c r="B33" s="11" t="s">
        <v>1642</v>
      </c>
      <c r="C33" s="12" t="s">
        <v>43</v>
      </c>
      <c r="D33" s="13" t="s">
        <v>1643</v>
      </c>
      <c r="E33" s="14" t="s">
        <v>1644</v>
      </c>
      <c r="F33" s="5" t="s">
        <v>19</v>
      </c>
      <c r="G33" s="5" t="s">
        <v>62</v>
      </c>
    </row>
    <row r="34" customFormat="false" ht="21.75" hidden="false" customHeight="true" outlineLevel="0" collapsed="false">
      <c r="B34" s="15" t="s">
        <v>1645</v>
      </c>
      <c r="C34" s="16" t="s">
        <v>43</v>
      </c>
      <c r="D34" s="17" t="s">
        <v>1646</v>
      </c>
      <c r="E34" s="18" t="s">
        <v>1647</v>
      </c>
      <c r="F34" s="7" t="s">
        <v>19</v>
      </c>
      <c r="G34" s="7" t="s">
        <v>123</v>
      </c>
    </row>
    <row r="35" customFormat="false" ht="21.75" hidden="false" customHeight="true" outlineLevel="0" collapsed="false">
      <c r="B35" s="11" t="s">
        <v>1648</v>
      </c>
      <c r="C35" s="12" t="s">
        <v>43</v>
      </c>
      <c r="D35" s="13" t="s">
        <v>1649</v>
      </c>
      <c r="E35" s="14" t="s">
        <v>1650</v>
      </c>
      <c r="F35" s="5" t="s">
        <v>19</v>
      </c>
      <c r="G35" s="5" t="s">
        <v>55</v>
      </c>
    </row>
    <row r="36" customFormat="false" ht="21.75" hidden="false" customHeight="true" outlineLevel="0" collapsed="false">
      <c r="B36" s="15" t="s">
        <v>1651</v>
      </c>
      <c r="C36" s="16" t="s">
        <v>43</v>
      </c>
      <c r="D36" s="17" t="s">
        <v>1652</v>
      </c>
      <c r="E36" s="18" t="s">
        <v>1653</v>
      </c>
      <c r="F36" s="7" t="s">
        <v>19</v>
      </c>
      <c r="G36" s="7" t="s">
        <v>55</v>
      </c>
    </row>
    <row r="37" customFormat="false" ht="21.75" hidden="false" customHeight="true" outlineLevel="0" collapsed="false">
      <c r="B37" s="11" t="s">
        <v>1654</v>
      </c>
      <c r="C37" s="12" t="s">
        <v>43</v>
      </c>
      <c r="D37" s="13" t="s">
        <v>1655</v>
      </c>
      <c r="E37" s="14" t="s">
        <v>1656</v>
      </c>
      <c r="F37" s="5" t="s">
        <v>19</v>
      </c>
      <c r="G37" s="5" t="s">
        <v>55</v>
      </c>
    </row>
    <row r="38" customFormat="false" ht="21.75" hidden="false" customHeight="true" outlineLevel="0" collapsed="false">
      <c r="B38" s="15" t="s">
        <v>1657</v>
      </c>
      <c r="C38" s="16" t="s">
        <v>43</v>
      </c>
      <c r="D38" s="17" t="s">
        <v>1658</v>
      </c>
      <c r="E38" s="18" t="s">
        <v>1659</v>
      </c>
      <c r="F38" s="7" t="s">
        <v>19</v>
      </c>
      <c r="G38" s="7" t="s">
        <v>229</v>
      </c>
    </row>
    <row r="39" customFormat="false" ht="21.75" hidden="false" customHeight="true" outlineLevel="0" collapsed="false">
      <c r="B39" s="11" t="s">
        <v>1660</v>
      </c>
      <c r="C39" s="12" t="s">
        <v>43</v>
      </c>
      <c r="D39" s="13" t="s">
        <v>1661</v>
      </c>
      <c r="E39" s="14" t="s">
        <v>1662</v>
      </c>
      <c r="F39" s="5" t="s">
        <v>19</v>
      </c>
      <c r="G39" s="5" t="s">
        <v>229</v>
      </c>
    </row>
    <row r="40" customFormat="false" ht="21.75" hidden="false" customHeight="true" outlineLevel="0" collapsed="false">
      <c r="B40" s="15" t="s">
        <v>1663</v>
      </c>
      <c r="C40" s="16" t="s">
        <v>43</v>
      </c>
      <c r="D40" s="17" t="s">
        <v>1664</v>
      </c>
      <c r="E40" s="18" t="s">
        <v>1665</v>
      </c>
      <c r="F40" s="7" t="s">
        <v>19</v>
      </c>
      <c r="G40" s="7" t="s">
        <v>62</v>
      </c>
    </row>
    <row r="41" customFormat="false" ht="21.75" hidden="false" customHeight="true" outlineLevel="0" collapsed="false">
      <c r="B41" s="11" t="s">
        <v>1666</v>
      </c>
      <c r="C41" s="12" t="s">
        <v>43</v>
      </c>
      <c r="D41" s="13" t="s">
        <v>1667</v>
      </c>
      <c r="E41" s="14" t="s">
        <v>1668</v>
      </c>
      <c r="F41" s="5" t="s">
        <v>19</v>
      </c>
      <c r="G41" s="5" t="s">
        <v>123</v>
      </c>
    </row>
    <row r="42" customFormat="false" ht="21.75" hidden="false" customHeight="true" outlineLevel="0" collapsed="false">
      <c r="B42" s="15" t="s">
        <v>1669</v>
      </c>
      <c r="C42" s="16" t="s">
        <v>43</v>
      </c>
      <c r="D42" s="17" t="s">
        <v>1670</v>
      </c>
      <c r="E42" s="18" t="s">
        <v>1671</v>
      </c>
      <c r="F42" s="7" t="s">
        <v>19</v>
      </c>
      <c r="G42" s="7" t="s">
        <v>55</v>
      </c>
    </row>
    <row r="43" customFormat="false" ht="21.75" hidden="false" customHeight="true" outlineLevel="0" collapsed="false">
      <c r="B43" s="11" t="s">
        <v>1672</v>
      </c>
      <c r="C43" s="12" t="s">
        <v>43</v>
      </c>
      <c r="D43" s="13" t="s">
        <v>1673</v>
      </c>
      <c r="E43" s="14" t="s">
        <v>1674</v>
      </c>
      <c r="F43" s="5" t="s">
        <v>19</v>
      </c>
      <c r="G43" s="5" t="s">
        <v>123</v>
      </c>
    </row>
    <row r="44" customFormat="false" ht="21.75" hidden="false" customHeight="true" outlineLevel="0" collapsed="false">
      <c r="B44" s="15" t="s">
        <v>1675</v>
      </c>
      <c r="C44" s="16" t="s">
        <v>43</v>
      </c>
      <c r="D44" s="17" t="s">
        <v>1676</v>
      </c>
      <c r="E44" s="18" t="s">
        <v>1677</v>
      </c>
      <c r="F44" s="7" t="s">
        <v>19</v>
      </c>
      <c r="G44" s="7" t="s">
        <v>55</v>
      </c>
    </row>
    <row r="45" customFormat="false" ht="21.75" hidden="false" customHeight="true" outlineLevel="0" collapsed="false">
      <c r="B45" s="11" t="s">
        <v>1678</v>
      </c>
      <c r="C45" s="12" t="s">
        <v>43</v>
      </c>
      <c r="D45" s="13" t="s">
        <v>1679</v>
      </c>
      <c r="E45" s="14" t="s">
        <v>1680</v>
      </c>
      <c r="F45" s="5" t="s">
        <v>19</v>
      </c>
      <c r="G45" s="5" t="s">
        <v>229</v>
      </c>
    </row>
    <row r="46" customFormat="false" ht="21.75" hidden="false" customHeight="true" outlineLevel="0" collapsed="false">
      <c r="B46" s="15" t="s">
        <v>1681</v>
      </c>
      <c r="C46" s="16" t="s">
        <v>43</v>
      </c>
      <c r="D46" s="17" t="s">
        <v>1682</v>
      </c>
      <c r="E46" s="18" t="s">
        <v>1683</v>
      </c>
      <c r="F46" s="7" t="s">
        <v>19</v>
      </c>
      <c r="G46" s="7" t="s">
        <v>123</v>
      </c>
    </row>
    <row r="47" customFormat="false" ht="21.75" hidden="false" customHeight="true" outlineLevel="0" collapsed="false">
      <c r="B47" s="11" t="s">
        <v>1684</v>
      </c>
      <c r="C47" s="12" t="s">
        <v>43</v>
      </c>
      <c r="D47" s="13" t="s">
        <v>1685</v>
      </c>
      <c r="E47" s="14" t="s">
        <v>1686</v>
      </c>
      <c r="F47" s="5" t="s">
        <v>19</v>
      </c>
      <c r="G47" s="5" t="s">
        <v>229</v>
      </c>
    </row>
    <row r="48" customFormat="false" ht="21.75" hidden="false" customHeight="true" outlineLevel="0" collapsed="false">
      <c r="B48" s="15" t="s">
        <v>1687</v>
      </c>
      <c r="C48" s="16" t="s">
        <v>43</v>
      </c>
      <c r="D48" s="17" t="s">
        <v>1688</v>
      </c>
      <c r="E48" s="18" t="s">
        <v>1689</v>
      </c>
      <c r="F48" s="7" t="s">
        <v>19</v>
      </c>
      <c r="G48" s="7" t="s">
        <v>55</v>
      </c>
    </row>
    <row r="49" customFormat="false" ht="21.75" hidden="false" customHeight="true" outlineLevel="0" collapsed="false">
      <c r="B49" s="11" t="s">
        <v>1690</v>
      </c>
      <c r="C49" s="12" t="s">
        <v>43</v>
      </c>
      <c r="D49" s="13" t="s">
        <v>1691</v>
      </c>
      <c r="E49" s="14" t="s">
        <v>1692</v>
      </c>
      <c r="F49" s="5" t="s">
        <v>19</v>
      </c>
      <c r="G49" s="5" t="s">
        <v>55</v>
      </c>
    </row>
    <row r="50" customFormat="false" ht="21.75" hidden="false" customHeight="true" outlineLevel="0" collapsed="false">
      <c r="B50" s="15" t="s">
        <v>1693</v>
      </c>
      <c r="C50" s="16" t="s">
        <v>45</v>
      </c>
      <c r="D50" s="17" t="s">
        <v>1694</v>
      </c>
      <c r="E50" s="18" t="s">
        <v>1695</v>
      </c>
      <c r="F50" s="7" t="s">
        <v>19</v>
      </c>
      <c r="G50" s="7" t="s">
        <v>55</v>
      </c>
    </row>
    <row r="51" customFormat="false" ht="21.75" hidden="false" customHeight="true" outlineLevel="0" collapsed="false">
      <c r="B51" s="11" t="s">
        <v>1696</v>
      </c>
      <c r="C51" s="12" t="s">
        <v>45</v>
      </c>
      <c r="D51" s="13" t="s">
        <v>1697</v>
      </c>
      <c r="E51" s="14" t="s">
        <v>1698</v>
      </c>
      <c r="F51" s="5" t="s">
        <v>19</v>
      </c>
      <c r="G51" s="5" t="s">
        <v>55</v>
      </c>
    </row>
    <row r="52" customFormat="false" ht="21.75" hidden="false" customHeight="true" outlineLevel="0" collapsed="false">
      <c r="B52" s="15" t="s">
        <v>1699</v>
      </c>
      <c r="C52" s="16" t="s">
        <v>45</v>
      </c>
      <c r="D52" s="17" t="s">
        <v>1700</v>
      </c>
      <c r="E52" s="18" t="s">
        <v>1701</v>
      </c>
      <c r="F52" s="7" t="s">
        <v>19</v>
      </c>
      <c r="G52" s="7" t="s">
        <v>55</v>
      </c>
    </row>
    <row r="53" customFormat="false" ht="21.75" hidden="false" customHeight="true" outlineLevel="0" collapsed="false">
      <c r="B53" s="11" t="s">
        <v>1702</v>
      </c>
      <c r="C53" s="12" t="s">
        <v>45</v>
      </c>
      <c r="D53" s="13" t="s">
        <v>1703</v>
      </c>
      <c r="E53" s="14" t="s">
        <v>1704</v>
      </c>
      <c r="F53" s="5" t="s">
        <v>19</v>
      </c>
      <c r="G53" s="5" t="s">
        <v>62</v>
      </c>
    </row>
    <row r="54" customFormat="false" ht="21.75" hidden="false" customHeight="true" outlineLevel="0" collapsed="false">
      <c r="B54" s="15" t="s">
        <v>1705</v>
      </c>
      <c r="C54" s="16" t="s">
        <v>45</v>
      </c>
      <c r="D54" s="17" t="s">
        <v>1706</v>
      </c>
      <c r="E54" s="18" t="s">
        <v>1707</v>
      </c>
      <c r="F54" s="7" t="s">
        <v>19</v>
      </c>
      <c r="G54" s="7" t="s">
        <v>62</v>
      </c>
    </row>
    <row r="55" customFormat="false" ht="21.75" hidden="false" customHeight="true" outlineLevel="0" collapsed="false">
      <c r="B55" s="11" t="s">
        <v>1708</v>
      </c>
      <c r="C55" s="12" t="s">
        <v>45</v>
      </c>
      <c r="D55" s="13" t="s">
        <v>1709</v>
      </c>
      <c r="E55" s="14" t="s">
        <v>1710</v>
      </c>
      <c r="F55" s="5" t="s">
        <v>19</v>
      </c>
      <c r="G55" s="5" t="s">
        <v>62</v>
      </c>
    </row>
    <row r="56" customFormat="false" ht="21.75" hidden="false" customHeight="true" outlineLevel="0" collapsed="false">
      <c r="B56" s="15" t="s">
        <v>1711</v>
      </c>
      <c r="C56" s="16" t="s">
        <v>45</v>
      </c>
      <c r="D56" s="17" t="s">
        <v>1712</v>
      </c>
      <c r="E56" s="18" t="s">
        <v>1713</v>
      </c>
      <c r="F56" s="7" t="s">
        <v>19</v>
      </c>
      <c r="G56" s="7" t="s">
        <v>55</v>
      </c>
    </row>
    <row r="57" customFormat="false" ht="21.75" hidden="false" customHeight="true" outlineLevel="0" collapsed="false">
      <c r="B57" s="11" t="s">
        <v>1714</v>
      </c>
      <c r="C57" s="12" t="s">
        <v>45</v>
      </c>
      <c r="D57" s="13" t="s">
        <v>1715</v>
      </c>
      <c r="E57" s="14" t="s">
        <v>1716</v>
      </c>
      <c r="F57" s="5" t="s">
        <v>19</v>
      </c>
      <c r="G57" s="5" t="s">
        <v>55</v>
      </c>
    </row>
    <row r="58" customFormat="false" ht="21.75" hidden="false" customHeight="true" outlineLevel="0" collapsed="false">
      <c r="B58" s="15" t="s">
        <v>1717</v>
      </c>
      <c r="C58" s="16" t="s">
        <v>45</v>
      </c>
      <c r="D58" s="17" t="s">
        <v>1718</v>
      </c>
      <c r="E58" s="18" t="s">
        <v>1719</v>
      </c>
      <c r="F58" s="7" t="s">
        <v>19</v>
      </c>
      <c r="G58" s="7" t="s">
        <v>55</v>
      </c>
    </row>
    <row r="59" customFormat="false" ht="21.75" hidden="false" customHeight="true" outlineLevel="0" collapsed="false">
      <c r="B59" s="11" t="s">
        <v>1720</v>
      </c>
      <c r="C59" s="12" t="s">
        <v>45</v>
      </c>
      <c r="D59" s="13" t="s">
        <v>1721</v>
      </c>
      <c r="E59" s="14" t="s">
        <v>1722</v>
      </c>
      <c r="F59" s="5" t="s">
        <v>19</v>
      </c>
      <c r="G59" s="5" t="s">
        <v>62</v>
      </c>
    </row>
    <row r="60" customFormat="false" ht="21.75" hidden="false" customHeight="true" outlineLevel="0" collapsed="false">
      <c r="B60" s="15" t="s">
        <v>1723</v>
      </c>
      <c r="C60" s="16" t="s">
        <v>45</v>
      </c>
      <c r="D60" s="17" t="s">
        <v>1724</v>
      </c>
      <c r="E60" s="18" t="s">
        <v>1725</v>
      </c>
      <c r="F60" s="7" t="s">
        <v>19</v>
      </c>
      <c r="G60" s="7" t="s">
        <v>55</v>
      </c>
    </row>
    <row r="61" customFormat="false" ht="21.75" hidden="false" customHeight="true" outlineLevel="0" collapsed="false">
      <c r="B61" s="11" t="s">
        <v>1726</v>
      </c>
      <c r="C61" s="12" t="s">
        <v>45</v>
      </c>
      <c r="D61" s="13" t="s">
        <v>1727</v>
      </c>
      <c r="E61" s="14" t="s">
        <v>1728</v>
      </c>
      <c r="F61" s="5" t="s">
        <v>12</v>
      </c>
      <c r="G61" s="5" t="s">
        <v>62</v>
      </c>
    </row>
    <row r="62" customFormat="false" ht="21.75" hidden="false" customHeight="true" outlineLevel="0" collapsed="false">
      <c r="B62" s="15" t="s">
        <v>1729</v>
      </c>
      <c r="C62" s="16" t="s">
        <v>45</v>
      </c>
      <c r="D62" s="17" t="s">
        <v>1730</v>
      </c>
      <c r="E62" s="18" t="s">
        <v>1731</v>
      </c>
      <c r="F62" s="7" t="s">
        <v>19</v>
      </c>
      <c r="G62" s="7" t="s">
        <v>55</v>
      </c>
    </row>
    <row r="63" customFormat="false" ht="21.75" hidden="false" customHeight="true" outlineLevel="0" collapsed="false">
      <c r="B63" s="11" t="s">
        <v>1732</v>
      </c>
      <c r="C63" s="12" t="s">
        <v>45</v>
      </c>
      <c r="D63" s="13" t="s">
        <v>1733</v>
      </c>
      <c r="E63" s="14" t="s">
        <v>1734</v>
      </c>
      <c r="F63" s="5" t="s">
        <v>19</v>
      </c>
      <c r="G63" s="5" t="s">
        <v>62</v>
      </c>
    </row>
    <row r="64" customFormat="false" ht="21.75" hidden="false" customHeight="true" outlineLevel="0" collapsed="false">
      <c r="B64" s="15" t="s">
        <v>1735</v>
      </c>
      <c r="C64" s="16" t="s">
        <v>45</v>
      </c>
      <c r="D64" s="17" t="s">
        <v>1736</v>
      </c>
      <c r="E64" s="18" t="s">
        <v>1737</v>
      </c>
      <c r="F64" s="7" t="s">
        <v>19</v>
      </c>
      <c r="G64" s="7" t="s">
        <v>55</v>
      </c>
    </row>
    <row r="65" customFormat="false" ht="21.75" hidden="false" customHeight="true" outlineLevel="0" collapsed="false">
      <c r="B65" s="11" t="s">
        <v>1738</v>
      </c>
      <c r="C65" s="12" t="s">
        <v>45</v>
      </c>
      <c r="D65" s="13" t="s">
        <v>1739</v>
      </c>
      <c r="E65" s="14" t="s">
        <v>1740</v>
      </c>
      <c r="F65" s="5" t="s">
        <v>19</v>
      </c>
      <c r="G65" s="5" t="s">
        <v>55</v>
      </c>
    </row>
    <row r="66" customFormat="false" ht="21.75" hidden="false" customHeight="true" outlineLevel="0" collapsed="false">
      <c r="B66" s="15" t="s">
        <v>1741</v>
      </c>
      <c r="C66" s="16" t="s">
        <v>45</v>
      </c>
      <c r="D66" s="17" t="s">
        <v>1742</v>
      </c>
      <c r="E66" s="18" t="s">
        <v>1743</v>
      </c>
      <c r="F66" s="7" t="s">
        <v>19</v>
      </c>
      <c r="G66" s="7" t="s">
        <v>229</v>
      </c>
    </row>
    <row r="67" customFormat="false" ht="21.75" hidden="false" customHeight="true" outlineLevel="0" collapsed="false">
      <c r="B67" s="11" t="s">
        <v>1744</v>
      </c>
      <c r="C67" s="12" t="s">
        <v>45</v>
      </c>
      <c r="D67" s="13" t="s">
        <v>1745</v>
      </c>
      <c r="E67" s="14" t="s">
        <v>1746</v>
      </c>
      <c r="F67" s="5" t="s">
        <v>19</v>
      </c>
      <c r="G67" s="5" t="s">
        <v>62</v>
      </c>
    </row>
    <row r="68" customFormat="false" ht="21.75" hidden="false" customHeight="true" outlineLevel="0" collapsed="false">
      <c r="B68" s="15" t="s">
        <v>1747</v>
      </c>
      <c r="C68" s="16" t="s">
        <v>45</v>
      </c>
      <c r="D68" s="17" t="s">
        <v>1748</v>
      </c>
      <c r="E68" s="18" t="s">
        <v>1749</v>
      </c>
      <c r="F68" s="7" t="s">
        <v>19</v>
      </c>
      <c r="G68" s="7" t="s">
        <v>55</v>
      </c>
    </row>
    <row r="69" customFormat="false" ht="21.75" hidden="false" customHeight="true" outlineLevel="0" collapsed="false">
      <c r="B69" s="11" t="s">
        <v>1750</v>
      </c>
      <c r="C69" s="12" t="s">
        <v>45</v>
      </c>
      <c r="D69" s="13" t="s">
        <v>1751</v>
      </c>
      <c r="E69" s="14" t="s">
        <v>1752</v>
      </c>
      <c r="F69" s="5" t="s">
        <v>19</v>
      </c>
      <c r="G69" s="5" t="s">
        <v>62</v>
      </c>
    </row>
    <row r="70" customFormat="false" ht="21.75" hidden="false" customHeight="true" outlineLevel="0" collapsed="false">
      <c r="B70" s="15" t="s">
        <v>1753</v>
      </c>
      <c r="C70" s="16" t="s">
        <v>45</v>
      </c>
      <c r="D70" s="17" t="s">
        <v>1754</v>
      </c>
      <c r="E70" s="18" t="s">
        <v>1755</v>
      </c>
      <c r="F70" s="7" t="s">
        <v>19</v>
      </c>
      <c r="G70" s="7" t="s">
        <v>229</v>
      </c>
    </row>
    <row r="71" customFormat="false" ht="21.75" hidden="false" customHeight="true" outlineLevel="0" collapsed="false">
      <c r="B71" s="11" t="s">
        <v>1756</v>
      </c>
      <c r="C71" s="12" t="s">
        <v>45</v>
      </c>
      <c r="D71" s="13" t="s">
        <v>1757</v>
      </c>
      <c r="E71" s="14" t="s">
        <v>1758</v>
      </c>
      <c r="F71" s="5" t="s">
        <v>19</v>
      </c>
      <c r="G71" s="5" t="s">
        <v>55</v>
      </c>
    </row>
    <row r="72" customFormat="false" ht="21.75" hidden="false" customHeight="true" outlineLevel="0" collapsed="false">
      <c r="B72" s="15" t="s">
        <v>1759</v>
      </c>
      <c r="C72" s="16" t="s">
        <v>45</v>
      </c>
      <c r="D72" s="17" t="s">
        <v>1760</v>
      </c>
      <c r="E72" s="18" t="s">
        <v>1761</v>
      </c>
      <c r="F72" s="7" t="s">
        <v>19</v>
      </c>
      <c r="G72" s="7" t="s">
        <v>55</v>
      </c>
    </row>
    <row r="73" customFormat="false" ht="21.75" hidden="false" customHeight="true" outlineLevel="0" collapsed="false">
      <c r="B73" s="11" t="s">
        <v>1762</v>
      </c>
      <c r="C73" s="12" t="s">
        <v>45</v>
      </c>
      <c r="D73" s="13" t="s">
        <v>1763</v>
      </c>
      <c r="E73" s="14" t="s">
        <v>1764</v>
      </c>
      <c r="F73" s="5" t="s">
        <v>19</v>
      </c>
      <c r="G73" s="5" t="s">
        <v>62</v>
      </c>
    </row>
    <row r="74" customFormat="false" ht="21.75" hidden="false" customHeight="true" outlineLevel="0" collapsed="false">
      <c r="B74" s="15" t="s">
        <v>1765</v>
      </c>
      <c r="C74" s="16" t="s">
        <v>45</v>
      </c>
      <c r="D74" s="17" t="s">
        <v>1766</v>
      </c>
      <c r="E74" s="18" t="s">
        <v>1767</v>
      </c>
      <c r="F74" s="7" t="s">
        <v>19</v>
      </c>
      <c r="G74" s="7" t="s">
        <v>229</v>
      </c>
    </row>
    <row r="75" customFormat="false" ht="21.75" hidden="false" customHeight="true" outlineLevel="0" collapsed="false">
      <c r="B75" s="11" t="s">
        <v>1768</v>
      </c>
      <c r="C75" s="12" t="s">
        <v>45</v>
      </c>
      <c r="D75" s="13" t="s">
        <v>1769</v>
      </c>
      <c r="E75" s="14" t="s">
        <v>1770</v>
      </c>
      <c r="F75" s="5" t="s">
        <v>19</v>
      </c>
      <c r="G75" s="5" t="s">
        <v>62</v>
      </c>
    </row>
    <row r="76" customFormat="false" ht="21.75" hidden="false" customHeight="true" outlineLevel="0" collapsed="false">
      <c r="B76" s="15" t="s">
        <v>1771</v>
      </c>
      <c r="C76" s="16" t="s">
        <v>45</v>
      </c>
      <c r="D76" s="17" t="s">
        <v>1772</v>
      </c>
      <c r="E76" s="18" t="s">
        <v>1773</v>
      </c>
      <c r="F76" s="7" t="s">
        <v>19</v>
      </c>
      <c r="G76" s="7" t="s">
        <v>55</v>
      </c>
    </row>
    <row r="77" customFormat="false" ht="21.75" hidden="false" customHeight="true" outlineLevel="0" collapsed="false">
      <c r="B77" s="11" t="s">
        <v>1774</v>
      </c>
      <c r="C77" s="12" t="s">
        <v>45</v>
      </c>
      <c r="D77" s="13" t="s">
        <v>1775</v>
      </c>
      <c r="E77" s="14" t="s">
        <v>1776</v>
      </c>
      <c r="F77" s="5" t="s">
        <v>19</v>
      </c>
      <c r="G77" s="5" t="s">
        <v>55</v>
      </c>
    </row>
    <row r="78" customFormat="false" ht="21.75" hidden="false" customHeight="true" outlineLevel="0" collapsed="false">
      <c r="B78" s="15" t="s">
        <v>1777</v>
      </c>
      <c r="C78" s="16" t="s">
        <v>45</v>
      </c>
      <c r="D78" s="17" t="s">
        <v>1778</v>
      </c>
      <c r="E78" s="18" t="s">
        <v>1779</v>
      </c>
      <c r="F78" s="7" t="s">
        <v>12</v>
      </c>
      <c r="G78" s="7" t="s">
        <v>62</v>
      </c>
    </row>
    <row r="79" customFormat="false" ht="21.75" hidden="false" customHeight="true" outlineLevel="0" collapsed="false">
      <c r="B79" s="11" t="s">
        <v>1780</v>
      </c>
      <c r="C79" s="12" t="s">
        <v>45</v>
      </c>
      <c r="D79" s="13" t="s">
        <v>1781</v>
      </c>
      <c r="E79" s="14" t="s">
        <v>1782</v>
      </c>
      <c r="F79" s="5" t="s">
        <v>19</v>
      </c>
      <c r="G79" s="5" t="s">
        <v>62</v>
      </c>
    </row>
    <row r="80" customFormat="false" ht="21.75" hidden="false" customHeight="true" outlineLevel="0" collapsed="false">
      <c r="B80" s="15" t="s">
        <v>1783</v>
      </c>
      <c r="C80" s="16" t="s">
        <v>45</v>
      </c>
      <c r="D80" s="17" t="s">
        <v>1784</v>
      </c>
      <c r="E80" s="18" t="s">
        <v>1785</v>
      </c>
      <c r="F80" s="7" t="s">
        <v>19</v>
      </c>
      <c r="G80" s="7" t="s">
        <v>55</v>
      </c>
    </row>
    <row r="81" customFormat="false" ht="21.75" hidden="false" customHeight="true" outlineLevel="0" collapsed="false">
      <c r="B81" s="11" t="s">
        <v>1786</v>
      </c>
      <c r="C81" s="12" t="s">
        <v>45</v>
      </c>
      <c r="D81" s="13" t="s">
        <v>1787</v>
      </c>
      <c r="E81" s="14" t="s">
        <v>1788</v>
      </c>
      <c r="F81" s="5" t="s">
        <v>19</v>
      </c>
      <c r="G81" s="5" t="s">
        <v>229</v>
      </c>
    </row>
    <row r="82" customFormat="false" ht="21.75" hidden="false" customHeight="true" outlineLevel="0" collapsed="false">
      <c r="B82" s="15" t="s">
        <v>1789</v>
      </c>
      <c r="C82" s="16" t="s">
        <v>45</v>
      </c>
      <c r="D82" s="17" t="s">
        <v>1790</v>
      </c>
      <c r="E82" s="18" t="s">
        <v>1791</v>
      </c>
      <c r="F82" s="7" t="s">
        <v>19</v>
      </c>
      <c r="G82" s="7" t="s">
        <v>62</v>
      </c>
    </row>
    <row r="83" customFormat="false" ht="21.75" hidden="false" customHeight="true" outlineLevel="0" collapsed="false">
      <c r="B83" s="11" t="s">
        <v>1792</v>
      </c>
      <c r="C83" s="12" t="s">
        <v>45</v>
      </c>
      <c r="D83" s="13" t="s">
        <v>1793</v>
      </c>
      <c r="E83" s="14" t="s">
        <v>1794</v>
      </c>
      <c r="F83" s="5" t="s">
        <v>19</v>
      </c>
      <c r="G83" s="5" t="s">
        <v>229</v>
      </c>
    </row>
    <row r="84" customFormat="false" ht="21.75" hidden="false" customHeight="true" outlineLevel="0" collapsed="false">
      <c r="B84" s="15" t="s">
        <v>1795</v>
      </c>
      <c r="C84" s="16" t="s">
        <v>45</v>
      </c>
      <c r="D84" s="17" t="s">
        <v>1796</v>
      </c>
      <c r="E84" s="18" t="s">
        <v>1797</v>
      </c>
      <c r="F84" s="7" t="s">
        <v>19</v>
      </c>
      <c r="G84" s="7" t="s">
        <v>55</v>
      </c>
    </row>
    <row r="85" customFormat="false" ht="21.75" hidden="false" customHeight="true" outlineLevel="0" collapsed="false">
      <c r="B85" s="11" t="s">
        <v>1798</v>
      </c>
      <c r="C85" s="12" t="s">
        <v>45</v>
      </c>
      <c r="D85" s="13" t="s">
        <v>1799</v>
      </c>
      <c r="E85" s="14" t="s">
        <v>1800</v>
      </c>
      <c r="F85" s="5" t="s">
        <v>19</v>
      </c>
      <c r="G85" s="5" t="s">
        <v>55</v>
      </c>
    </row>
    <row r="86" customFormat="false" ht="21.75" hidden="false" customHeight="true" outlineLevel="0" collapsed="false">
      <c r="B86" s="15" t="s">
        <v>1801</v>
      </c>
      <c r="C86" s="16" t="s">
        <v>45</v>
      </c>
      <c r="D86" s="17" t="s">
        <v>1802</v>
      </c>
      <c r="E86" s="18" t="s">
        <v>1803</v>
      </c>
      <c r="F86" s="7" t="s">
        <v>19</v>
      </c>
      <c r="G86" s="7" t="s">
        <v>229</v>
      </c>
    </row>
    <row r="87" customFormat="false" ht="21.75" hidden="false" customHeight="true" outlineLevel="0" collapsed="false">
      <c r="B87" s="11" t="s">
        <v>1804</v>
      </c>
      <c r="C87" s="12" t="s">
        <v>45</v>
      </c>
      <c r="D87" s="13" t="s">
        <v>1805</v>
      </c>
      <c r="E87" s="14" t="s">
        <v>1806</v>
      </c>
      <c r="F87" s="5" t="s">
        <v>19</v>
      </c>
      <c r="G87" s="5" t="s">
        <v>55</v>
      </c>
    </row>
    <row r="88" customFormat="false" ht="21.75" hidden="false" customHeight="true" outlineLevel="0" collapsed="false">
      <c r="B88" s="15" t="s">
        <v>1807</v>
      </c>
      <c r="C88" s="16" t="s">
        <v>45</v>
      </c>
      <c r="D88" s="17" t="s">
        <v>1808</v>
      </c>
      <c r="E88" s="18" t="s">
        <v>1809</v>
      </c>
      <c r="F88" s="7" t="s">
        <v>19</v>
      </c>
      <c r="G88" s="7" t="s">
        <v>62</v>
      </c>
    </row>
    <row r="89" customFormat="false" ht="21.75" hidden="false" customHeight="true" outlineLevel="0" collapsed="false">
      <c r="B89" s="11" t="s">
        <v>1810</v>
      </c>
      <c r="C89" s="12" t="s">
        <v>45</v>
      </c>
      <c r="D89" s="13" t="s">
        <v>1811</v>
      </c>
      <c r="E89" s="14" t="s">
        <v>1812</v>
      </c>
      <c r="F89" s="5" t="s">
        <v>12</v>
      </c>
      <c r="G89" s="5" t="s">
        <v>229</v>
      </c>
    </row>
    <row r="90" customFormat="false" ht="21.75" hidden="false" customHeight="true" outlineLevel="0" collapsed="false">
      <c r="B90" s="15" t="s">
        <v>1813</v>
      </c>
      <c r="C90" s="16" t="s">
        <v>41</v>
      </c>
      <c r="D90" s="17" t="s">
        <v>1814</v>
      </c>
      <c r="E90" s="18" t="s">
        <v>1815</v>
      </c>
      <c r="F90" s="7" t="s">
        <v>19</v>
      </c>
      <c r="G90" s="7" t="s">
        <v>123</v>
      </c>
    </row>
    <row r="91" customFormat="false" ht="21.75" hidden="false" customHeight="true" outlineLevel="0" collapsed="false">
      <c r="B91" s="11" t="s">
        <v>1816</v>
      </c>
      <c r="C91" s="12" t="s">
        <v>41</v>
      </c>
      <c r="D91" s="13" t="s">
        <v>1817</v>
      </c>
      <c r="E91" s="14" t="s">
        <v>1818</v>
      </c>
      <c r="F91" s="5" t="s">
        <v>19</v>
      </c>
      <c r="G91" s="5" t="s">
        <v>55</v>
      </c>
    </row>
    <row r="92" customFormat="false" ht="21.75" hidden="false" customHeight="true" outlineLevel="0" collapsed="false">
      <c r="B92" s="15" t="s">
        <v>1819</v>
      </c>
      <c r="C92" s="16" t="s">
        <v>41</v>
      </c>
      <c r="D92" s="17" t="s">
        <v>1820</v>
      </c>
      <c r="E92" s="18" t="s">
        <v>1821</v>
      </c>
      <c r="F92" s="7" t="s">
        <v>19</v>
      </c>
      <c r="G92" s="7" t="s">
        <v>229</v>
      </c>
    </row>
    <row r="93" customFormat="false" ht="21.75" hidden="false" customHeight="true" outlineLevel="0" collapsed="false">
      <c r="B93" s="11" t="s">
        <v>1822</v>
      </c>
      <c r="C93" s="12" t="s">
        <v>41</v>
      </c>
      <c r="D93" s="13" t="s">
        <v>1823</v>
      </c>
      <c r="E93" s="14" t="s">
        <v>1824</v>
      </c>
      <c r="F93" s="5" t="s">
        <v>19</v>
      </c>
      <c r="G93" s="5" t="s">
        <v>55</v>
      </c>
    </row>
    <row r="94" customFormat="false" ht="21.75" hidden="false" customHeight="true" outlineLevel="0" collapsed="false">
      <c r="B94" s="15" t="s">
        <v>1825</v>
      </c>
      <c r="C94" s="16" t="s">
        <v>41</v>
      </c>
      <c r="D94" s="17" t="s">
        <v>1826</v>
      </c>
      <c r="E94" s="18" t="s">
        <v>1827</v>
      </c>
      <c r="F94" s="7" t="s">
        <v>19</v>
      </c>
      <c r="G94" s="7" t="s">
        <v>55</v>
      </c>
    </row>
    <row r="95" customFormat="false" ht="21.75" hidden="false" customHeight="true" outlineLevel="0" collapsed="false">
      <c r="B95" s="11" t="s">
        <v>1828</v>
      </c>
      <c r="C95" s="12" t="s">
        <v>41</v>
      </c>
      <c r="D95" s="13" t="s">
        <v>1829</v>
      </c>
      <c r="E95" s="14" t="s">
        <v>1830</v>
      </c>
      <c r="F95" s="5" t="s">
        <v>19</v>
      </c>
      <c r="G95" s="5" t="s">
        <v>55</v>
      </c>
    </row>
    <row r="96" customFormat="false" ht="21.75" hidden="false" customHeight="true" outlineLevel="0" collapsed="false">
      <c r="B96" s="15" t="s">
        <v>1831</v>
      </c>
      <c r="C96" s="16" t="s">
        <v>41</v>
      </c>
      <c r="D96" s="17" t="s">
        <v>1832</v>
      </c>
      <c r="E96" s="18" t="s">
        <v>1833</v>
      </c>
      <c r="F96" s="7" t="s">
        <v>19</v>
      </c>
      <c r="G96" s="7" t="s">
        <v>229</v>
      </c>
    </row>
    <row r="97" customFormat="false" ht="21.75" hidden="false" customHeight="true" outlineLevel="0" collapsed="false">
      <c r="B97" s="11" t="s">
        <v>1834</v>
      </c>
      <c r="C97" s="12" t="s">
        <v>41</v>
      </c>
      <c r="D97" s="13" t="s">
        <v>1835</v>
      </c>
      <c r="E97" s="14" t="s">
        <v>1836</v>
      </c>
      <c r="F97" s="5" t="s">
        <v>19</v>
      </c>
      <c r="G97" s="5" t="s">
        <v>229</v>
      </c>
    </row>
    <row r="98" customFormat="false" ht="21.75" hidden="false" customHeight="true" outlineLevel="0" collapsed="false">
      <c r="B98" s="15" t="s">
        <v>1837</v>
      </c>
      <c r="C98" s="16" t="s">
        <v>41</v>
      </c>
      <c r="D98" s="17" t="s">
        <v>1838</v>
      </c>
      <c r="E98" s="18" t="s">
        <v>1839</v>
      </c>
      <c r="F98" s="7" t="s">
        <v>19</v>
      </c>
      <c r="G98" s="7" t="s">
        <v>55</v>
      </c>
    </row>
    <row r="99" customFormat="false" ht="21.75" hidden="false" customHeight="true" outlineLevel="0" collapsed="false">
      <c r="B99" s="11" t="s">
        <v>1840</v>
      </c>
      <c r="C99" s="12" t="s">
        <v>41</v>
      </c>
      <c r="D99" s="13" t="s">
        <v>1841</v>
      </c>
      <c r="E99" s="14" t="s">
        <v>1842</v>
      </c>
      <c r="F99" s="5" t="s">
        <v>19</v>
      </c>
      <c r="G99" s="5" t="s">
        <v>229</v>
      </c>
    </row>
    <row r="100" customFormat="false" ht="21.75" hidden="false" customHeight="true" outlineLevel="0" collapsed="false">
      <c r="B100" s="15" t="s">
        <v>1843</v>
      </c>
      <c r="C100" s="16" t="s">
        <v>41</v>
      </c>
      <c r="D100" s="17" t="s">
        <v>1844</v>
      </c>
      <c r="E100" s="18" t="s">
        <v>1845</v>
      </c>
      <c r="F100" s="7" t="s">
        <v>19</v>
      </c>
      <c r="G100" s="7" t="s">
        <v>55</v>
      </c>
    </row>
    <row r="101" customFormat="false" ht="21.75" hidden="false" customHeight="true" outlineLevel="0" collapsed="false">
      <c r="B101" s="11" t="s">
        <v>1846</v>
      </c>
      <c r="C101" s="12" t="s">
        <v>41</v>
      </c>
      <c r="D101" s="13" t="s">
        <v>1847</v>
      </c>
      <c r="E101" s="14" t="s">
        <v>1848</v>
      </c>
      <c r="F101" s="5" t="s">
        <v>19</v>
      </c>
      <c r="G101" s="5" t="s">
        <v>55</v>
      </c>
    </row>
    <row r="102" customFormat="false" ht="21.75" hidden="false" customHeight="true" outlineLevel="0" collapsed="false">
      <c r="B102" s="15" t="s">
        <v>1849</v>
      </c>
      <c r="C102" s="16" t="s">
        <v>41</v>
      </c>
      <c r="D102" s="17" t="s">
        <v>1850</v>
      </c>
      <c r="E102" s="18" t="s">
        <v>1851</v>
      </c>
      <c r="F102" s="7" t="s">
        <v>19</v>
      </c>
      <c r="G102" s="7" t="s">
        <v>123</v>
      </c>
    </row>
    <row r="103" customFormat="false" ht="21.75" hidden="false" customHeight="true" outlineLevel="0" collapsed="false">
      <c r="B103" s="11" t="s">
        <v>1852</v>
      </c>
      <c r="C103" s="12" t="s">
        <v>41</v>
      </c>
      <c r="D103" s="13" t="s">
        <v>1853</v>
      </c>
      <c r="E103" s="14" t="s">
        <v>1854</v>
      </c>
      <c r="F103" s="5" t="s">
        <v>19</v>
      </c>
      <c r="G103" s="5" t="s">
        <v>55</v>
      </c>
    </row>
    <row r="104" customFormat="false" ht="21.75" hidden="false" customHeight="true" outlineLevel="0" collapsed="false">
      <c r="B104" s="15" t="s">
        <v>1855</v>
      </c>
      <c r="C104" s="16" t="s">
        <v>41</v>
      </c>
      <c r="D104" s="17" t="s">
        <v>1856</v>
      </c>
      <c r="E104" s="18" t="s">
        <v>1857</v>
      </c>
      <c r="F104" s="7" t="s">
        <v>19</v>
      </c>
      <c r="G104" s="7" t="s">
        <v>123</v>
      </c>
    </row>
    <row r="105" customFormat="false" ht="21.75" hidden="false" customHeight="true" outlineLevel="0" collapsed="false">
      <c r="B105" s="11" t="s">
        <v>1858</v>
      </c>
      <c r="C105" s="12" t="s">
        <v>41</v>
      </c>
      <c r="D105" s="13" t="s">
        <v>1859</v>
      </c>
      <c r="E105" s="14" t="s">
        <v>1860</v>
      </c>
      <c r="F105" s="5" t="s">
        <v>19</v>
      </c>
      <c r="G105" s="5" t="s">
        <v>55</v>
      </c>
    </row>
    <row r="106" customFormat="false" ht="21.75" hidden="false" customHeight="true" outlineLevel="0" collapsed="false">
      <c r="B106" s="15" t="s">
        <v>1861</v>
      </c>
      <c r="C106" s="16" t="s">
        <v>41</v>
      </c>
      <c r="D106" s="17" t="s">
        <v>1862</v>
      </c>
      <c r="E106" s="18" t="s">
        <v>1863</v>
      </c>
      <c r="F106" s="7" t="s">
        <v>19</v>
      </c>
      <c r="G106" s="7" t="s">
        <v>229</v>
      </c>
    </row>
    <row r="107" customFormat="false" ht="21.75" hidden="false" customHeight="true" outlineLevel="0" collapsed="false">
      <c r="B107" s="11" t="s">
        <v>1864</v>
      </c>
      <c r="C107" s="12" t="s">
        <v>41</v>
      </c>
      <c r="D107" s="13" t="s">
        <v>1865</v>
      </c>
      <c r="E107" s="14" t="s">
        <v>1866</v>
      </c>
      <c r="F107" s="5" t="s">
        <v>19</v>
      </c>
      <c r="G107" s="5" t="s">
        <v>55</v>
      </c>
    </row>
    <row r="108" customFormat="false" ht="21.75" hidden="false" customHeight="true" outlineLevel="0" collapsed="false">
      <c r="B108" s="15" t="s">
        <v>1867</v>
      </c>
      <c r="C108" s="16" t="s">
        <v>41</v>
      </c>
      <c r="D108" s="17" t="s">
        <v>1868</v>
      </c>
      <c r="E108" s="18" t="s">
        <v>1869</v>
      </c>
      <c r="F108" s="7" t="s">
        <v>19</v>
      </c>
      <c r="G108" s="7" t="s">
        <v>229</v>
      </c>
    </row>
    <row r="109" customFormat="false" ht="21.75" hidden="false" customHeight="true" outlineLevel="0" collapsed="false">
      <c r="B109" s="11" t="s">
        <v>1870</v>
      </c>
      <c r="C109" s="12" t="s">
        <v>41</v>
      </c>
      <c r="D109" s="13" t="s">
        <v>1871</v>
      </c>
      <c r="E109" s="14" t="s">
        <v>1872</v>
      </c>
      <c r="F109" s="5" t="s">
        <v>19</v>
      </c>
      <c r="G109" s="5" t="s">
        <v>55</v>
      </c>
    </row>
    <row r="110" customFormat="false" ht="21.75" hidden="false" customHeight="true" outlineLevel="0" collapsed="false">
      <c r="B110" s="15" t="s">
        <v>1873</v>
      </c>
      <c r="C110" s="16" t="s">
        <v>41</v>
      </c>
      <c r="D110" s="17" t="s">
        <v>1874</v>
      </c>
      <c r="E110" s="18" t="s">
        <v>1875</v>
      </c>
      <c r="F110" s="7" t="s">
        <v>19</v>
      </c>
      <c r="G110" s="7" t="s">
        <v>55</v>
      </c>
    </row>
    <row r="111" customFormat="false" ht="21.75" hidden="false" customHeight="true" outlineLevel="0" collapsed="false">
      <c r="B111" s="11" t="s">
        <v>1876</v>
      </c>
      <c r="C111" s="12" t="s">
        <v>41</v>
      </c>
      <c r="D111" s="13" t="s">
        <v>1877</v>
      </c>
      <c r="E111" s="14" t="s">
        <v>1878</v>
      </c>
      <c r="F111" s="5" t="s">
        <v>19</v>
      </c>
      <c r="G111" s="5" t="s">
        <v>55</v>
      </c>
    </row>
    <row r="112" customFormat="false" ht="21.75" hidden="false" customHeight="true" outlineLevel="0" collapsed="false">
      <c r="B112" s="15" t="s">
        <v>1879</v>
      </c>
      <c r="C112" s="16" t="s">
        <v>41</v>
      </c>
      <c r="D112" s="17" t="s">
        <v>1880</v>
      </c>
      <c r="E112" s="18" t="s">
        <v>1881</v>
      </c>
      <c r="F112" s="7" t="s">
        <v>19</v>
      </c>
      <c r="G112" s="7" t="s">
        <v>229</v>
      </c>
    </row>
    <row r="113" customFormat="false" ht="21.75" hidden="false" customHeight="true" outlineLevel="0" collapsed="false">
      <c r="B113" s="11" t="s">
        <v>1882</v>
      </c>
      <c r="C113" s="12" t="s">
        <v>41</v>
      </c>
      <c r="D113" s="13" t="s">
        <v>1883</v>
      </c>
      <c r="E113" s="14" t="s">
        <v>1884</v>
      </c>
      <c r="F113" s="5" t="s">
        <v>19</v>
      </c>
      <c r="G113" s="5" t="s">
        <v>55</v>
      </c>
    </row>
    <row r="114" customFormat="false" ht="21.75" hidden="false" customHeight="true" outlineLevel="0" collapsed="false">
      <c r="B114" s="15" t="s">
        <v>1885</v>
      </c>
      <c r="C114" s="16" t="s">
        <v>41</v>
      </c>
      <c r="D114" s="17" t="s">
        <v>1886</v>
      </c>
      <c r="E114" s="18" t="s">
        <v>1887</v>
      </c>
      <c r="F114" s="7" t="s">
        <v>19</v>
      </c>
      <c r="G114" s="7" t="s">
        <v>62</v>
      </c>
    </row>
    <row r="115" customFormat="false" ht="21.75" hidden="false" customHeight="true" outlineLevel="0" collapsed="false">
      <c r="B115" s="11" t="s">
        <v>1888</v>
      </c>
      <c r="C115" s="12" t="s">
        <v>41</v>
      </c>
      <c r="D115" s="13" t="s">
        <v>1889</v>
      </c>
      <c r="E115" s="14" t="s">
        <v>1890</v>
      </c>
      <c r="F115" s="5" t="s">
        <v>19</v>
      </c>
      <c r="G115" s="5" t="s">
        <v>123</v>
      </c>
    </row>
    <row r="116" customFormat="false" ht="21.75" hidden="false" customHeight="true" outlineLevel="0" collapsed="false">
      <c r="B116" s="15" t="s">
        <v>1891</v>
      </c>
      <c r="C116" s="16" t="s">
        <v>41</v>
      </c>
      <c r="D116" s="17" t="s">
        <v>1892</v>
      </c>
      <c r="E116" s="18" t="s">
        <v>1893</v>
      </c>
      <c r="F116" s="7" t="s">
        <v>19</v>
      </c>
      <c r="G116" s="7" t="s">
        <v>55</v>
      </c>
    </row>
    <row r="117" customFormat="false" ht="21.75" hidden="false" customHeight="true" outlineLevel="0" collapsed="false">
      <c r="B117" s="11" t="s">
        <v>1894</v>
      </c>
      <c r="C117" s="12" t="s">
        <v>41</v>
      </c>
      <c r="D117" s="13" t="s">
        <v>1895</v>
      </c>
      <c r="E117" s="14" t="s">
        <v>1896</v>
      </c>
      <c r="F117" s="5" t="s">
        <v>19</v>
      </c>
      <c r="G117" s="5" t="s">
        <v>229</v>
      </c>
    </row>
    <row r="118" customFormat="false" ht="21.75" hidden="false" customHeight="true" outlineLevel="0" collapsed="false">
      <c r="B118" s="15" t="s">
        <v>1897</v>
      </c>
      <c r="C118" s="16" t="s">
        <v>41</v>
      </c>
      <c r="D118" s="17" t="s">
        <v>1898</v>
      </c>
      <c r="E118" s="18" t="s">
        <v>1899</v>
      </c>
      <c r="F118" s="7" t="s">
        <v>19</v>
      </c>
      <c r="G118" s="7" t="s">
        <v>55</v>
      </c>
    </row>
    <row r="119" customFormat="false" ht="21.75" hidden="false" customHeight="true" outlineLevel="0" collapsed="false">
      <c r="B119" s="11" t="s">
        <v>1900</v>
      </c>
      <c r="C119" s="12" t="s">
        <v>41</v>
      </c>
      <c r="D119" s="13" t="s">
        <v>1901</v>
      </c>
      <c r="E119" s="14" t="s">
        <v>1902</v>
      </c>
      <c r="F119" s="5" t="s">
        <v>19</v>
      </c>
      <c r="G119" s="5" t="s">
        <v>62</v>
      </c>
    </row>
    <row r="120" customFormat="false" ht="21.75" hidden="false" customHeight="true" outlineLevel="0" collapsed="false">
      <c r="B120" s="15" t="s">
        <v>1903</v>
      </c>
      <c r="C120" s="16" t="s">
        <v>41</v>
      </c>
      <c r="D120" s="17" t="s">
        <v>1904</v>
      </c>
      <c r="E120" s="18" t="s">
        <v>1905</v>
      </c>
      <c r="F120" s="7" t="s">
        <v>19</v>
      </c>
      <c r="G120" s="7" t="s">
        <v>55</v>
      </c>
    </row>
    <row r="121" customFormat="false" ht="21.75" hidden="false" customHeight="true" outlineLevel="0" collapsed="false">
      <c r="B121" s="11" t="s">
        <v>1906</v>
      </c>
      <c r="C121" s="12" t="s">
        <v>41</v>
      </c>
      <c r="D121" s="13" t="s">
        <v>1907</v>
      </c>
      <c r="E121" s="14" t="s">
        <v>1908</v>
      </c>
      <c r="F121" s="5" t="s">
        <v>19</v>
      </c>
      <c r="G121" s="5" t="s">
        <v>229</v>
      </c>
    </row>
    <row r="122" customFormat="false" ht="21.75" hidden="false" customHeight="true" outlineLevel="0" collapsed="false">
      <c r="B122" s="15" t="s">
        <v>1909</v>
      </c>
      <c r="C122" s="16" t="s">
        <v>41</v>
      </c>
      <c r="D122" s="17" t="s">
        <v>1910</v>
      </c>
      <c r="E122" s="18" t="s">
        <v>1911</v>
      </c>
      <c r="F122" s="7" t="s">
        <v>19</v>
      </c>
      <c r="G122" s="7" t="s">
        <v>55</v>
      </c>
    </row>
    <row r="123" customFormat="false" ht="21.75" hidden="false" customHeight="true" outlineLevel="0" collapsed="false">
      <c r="B123" s="11" t="s">
        <v>1912</v>
      </c>
      <c r="C123" s="12" t="s">
        <v>41</v>
      </c>
      <c r="D123" s="13" t="s">
        <v>1913</v>
      </c>
      <c r="E123" s="14" t="s">
        <v>1914</v>
      </c>
      <c r="F123" s="5" t="s">
        <v>19</v>
      </c>
      <c r="G123" s="5" t="s">
        <v>229</v>
      </c>
    </row>
    <row r="124" customFormat="false" ht="21.75" hidden="false" customHeight="true" outlineLevel="0" collapsed="false">
      <c r="B124" s="15" t="s">
        <v>1915</v>
      </c>
      <c r="C124" s="16" t="s">
        <v>41</v>
      </c>
      <c r="D124" s="17" t="s">
        <v>1916</v>
      </c>
      <c r="E124" s="18" t="s">
        <v>1917</v>
      </c>
      <c r="F124" s="7" t="s">
        <v>19</v>
      </c>
      <c r="G124" s="7" t="s">
        <v>229</v>
      </c>
    </row>
    <row r="125" customFormat="false" ht="21.75" hidden="false" customHeight="true" outlineLevel="0" collapsed="false">
      <c r="B125" s="11" t="s">
        <v>1918</v>
      </c>
      <c r="C125" s="12" t="s">
        <v>40</v>
      </c>
      <c r="D125" s="13" t="s">
        <v>1919</v>
      </c>
      <c r="E125" s="14" t="s">
        <v>1920</v>
      </c>
      <c r="F125" s="5" t="s">
        <v>19</v>
      </c>
      <c r="G125" s="5" t="s">
        <v>123</v>
      </c>
    </row>
    <row r="126" customFormat="false" ht="21.75" hidden="false" customHeight="true" outlineLevel="0" collapsed="false">
      <c r="B126" s="15" t="s">
        <v>1921</v>
      </c>
      <c r="C126" s="16" t="s">
        <v>40</v>
      </c>
      <c r="D126" s="17" t="s">
        <v>1922</v>
      </c>
      <c r="E126" s="18" t="s">
        <v>1923</v>
      </c>
      <c r="F126" s="7" t="s">
        <v>19</v>
      </c>
      <c r="G126" s="7" t="s">
        <v>55</v>
      </c>
    </row>
    <row r="127" customFormat="false" ht="21.75" hidden="false" customHeight="true" outlineLevel="0" collapsed="false">
      <c r="B127" s="11" t="s">
        <v>1924</v>
      </c>
      <c r="C127" s="12" t="s">
        <v>40</v>
      </c>
      <c r="D127" s="13" t="s">
        <v>1925</v>
      </c>
      <c r="E127" s="14" t="s">
        <v>1926</v>
      </c>
      <c r="F127" s="5" t="s">
        <v>19</v>
      </c>
      <c r="G127" s="5" t="s">
        <v>55</v>
      </c>
    </row>
    <row r="128" customFormat="false" ht="21.75" hidden="false" customHeight="true" outlineLevel="0" collapsed="false">
      <c r="B128" s="15" t="s">
        <v>1927</v>
      </c>
      <c r="C128" s="16" t="s">
        <v>40</v>
      </c>
      <c r="D128" s="17" t="s">
        <v>1928</v>
      </c>
      <c r="E128" s="18" t="s">
        <v>1929</v>
      </c>
      <c r="F128" s="7" t="s">
        <v>19</v>
      </c>
      <c r="G128" s="7" t="s">
        <v>55</v>
      </c>
    </row>
    <row r="129" customFormat="false" ht="21.75" hidden="false" customHeight="true" outlineLevel="0" collapsed="false">
      <c r="B129" s="11" t="s">
        <v>1930</v>
      </c>
      <c r="C129" s="12" t="s">
        <v>40</v>
      </c>
      <c r="D129" s="13" t="s">
        <v>1931</v>
      </c>
      <c r="E129" s="14" t="s">
        <v>1932</v>
      </c>
      <c r="F129" s="5" t="s">
        <v>19</v>
      </c>
      <c r="G129" s="5" t="s">
        <v>55</v>
      </c>
    </row>
    <row r="130" customFormat="false" ht="21.75" hidden="false" customHeight="true" outlineLevel="0" collapsed="false">
      <c r="B130" s="15" t="s">
        <v>1933</v>
      </c>
      <c r="C130" s="16" t="s">
        <v>40</v>
      </c>
      <c r="D130" s="17" t="s">
        <v>1934</v>
      </c>
      <c r="E130" s="18" t="s">
        <v>1935</v>
      </c>
      <c r="F130" s="7" t="s">
        <v>19</v>
      </c>
      <c r="G130" s="7" t="s">
        <v>55</v>
      </c>
    </row>
    <row r="131" customFormat="false" ht="21.75" hidden="false" customHeight="true" outlineLevel="0" collapsed="false">
      <c r="B131" s="11" t="s">
        <v>1936</v>
      </c>
      <c r="C131" s="12" t="s">
        <v>40</v>
      </c>
      <c r="D131" s="13" t="s">
        <v>1937</v>
      </c>
      <c r="E131" s="14" t="s">
        <v>1938</v>
      </c>
      <c r="F131" s="5" t="s">
        <v>19</v>
      </c>
      <c r="G131" s="5" t="s">
        <v>55</v>
      </c>
    </row>
    <row r="132" customFormat="false" ht="21.75" hidden="false" customHeight="true" outlineLevel="0" collapsed="false">
      <c r="B132" s="15" t="s">
        <v>1939</v>
      </c>
      <c r="C132" s="16" t="s">
        <v>40</v>
      </c>
      <c r="D132" s="17" t="s">
        <v>1940</v>
      </c>
      <c r="E132" s="18" t="s">
        <v>1941</v>
      </c>
      <c r="F132" s="7" t="s">
        <v>19</v>
      </c>
      <c r="G132" s="7" t="s">
        <v>55</v>
      </c>
    </row>
    <row r="133" customFormat="false" ht="21.75" hidden="false" customHeight="true" outlineLevel="0" collapsed="false">
      <c r="B133" s="11" t="s">
        <v>1942</v>
      </c>
      <c r="C133" s="12" t="s">
        <v>40</v>
      </c>
      <c r="D133" s="13" t="s">
        <v>1943</v>
      </c>
      <c r="E133" s="14" t="s">
        <v>1944</v>
      </c>
      <c r="F133" s="5" t="s">
        <v>19</v>
      </c>
      <c r="G133" s="5" t="s">
        <v>55</v>
      </c>
    </row>
    <row r="134" customFormat="false" ht="21.75" hidden="false" customHeight="true" outlineLevel="0" collapsed="false">
      <c r="B134" s="15" t="s">
        <v>1945</v>
      </c>
      <c r="C134" s="16" t="s">
        <v>40</v>
      </c>
      <c r="D134" s="17" t="s">
        <v>1946</v>
      </c>
      <c r="E134" s="18" t="s">
        <v>1947</v>
      </c>
      <c r="F134" s="7" t="s">
        <v>19</v>
      </c>
      <c r="G134" s="7" t="s">
        <v>55</v>
      </c>
    </row>
    <row r="135" customFormat="false" ht="21.75" hidden="false" customHeight="true" outlineLevel="0" collapsed="false">
      <c r="B135" s="11" t="s">
        <v>1948</v>
      </c>
      <c r="C135" s="12" t="s">
        <v>40</v>
      </c>
      <c r="D135" s="13" t="s">
        <v>1949</v>
      </c>
      <c r="E135" s="14" t="s">
        <v>1950</v>
      </c>
      <c r="F135" s="5" t="s">
        <v>19</v>
      </c>
      <c r="G135" s="5" t="s">
        <v>55</v>
      </c>
    </row>
    <row r="136" customFormat="false" ht="21.75" hidden="false" customHeight="true" outlineLevel="0" collapsed="false">
      <c r="B136" s="15" t="s">
        <v>1951</v>
      </c>
      <c r="C136" s="16" t="s">
        <v>40</v>
      </c>
      <c r="D136" s="17" t="s">
        <v>1952</v>
      </c>
      <c r="E136" s="18" t="s">
        <v>1953</v>
      </c>
      <c r="F136" s="7" t="s">
        <v>19</v>
      </c>
      <c r="G136" s="7" t="s">
        <v>123</v>
      </c>
    </row>
    <row r="137" customFormat="false" ht="21.75" hidden="false" customHeight="true" outlineLevel="0" collapsed="false">
      <c r="B137" s="11" t="s">
        <v>1954</v>
      </c>
      <c r="C137" s="12" t="s">
        <v>40</v>
      </c>
      <c r="D137" s="13" t="s">
        <v>1955</v>
      </c>
      <c r="E137" s="14" t="s">
        <v>1956</v>
      </c>
      <c r="F137" s="5" t="s">
        <v>19</v>
      </c>
      <c r="G137" s="5" t="s">
        <v>123</v>
      </c>
    </row>
    <row r="138" customFormat="false" ht="21.75" hidden="false" customHeight="true" outlineLevel="0" collapsed="false">
      <c r="B138" s="15" t="s">
        <v>1957</v>
      </c>
      <c r="C138" s="16" t="s">
        <v>40</v>
      </c>
      <c r="D138" s="17" t="s">
        <v>1958</v>
      </c>
      <c r="E138" s="18" t="s">
        <v>1959</v>
      </c>
      <c r="F138" s="7" t="s">
        <v>19</v>
      </c>
      <c r="G138" s="7" t="s">
        <v>55</v>
      </c>
    </row>
    <row r="139" customFormat="false" ht="21.75" hidden="false" customHeight="true" outlineLevel="0" collapsed="false">
      <c r="B139" s="11" t="s">
        <v>1960</v>
      </c>
      <c r="C139" s="12" t="s">
        <v>40</v>
      </c>
      <c r="D139" s="13" t="s">
        <v>1961</v>
      </c>
      <c r="E139" s="14" t="s">
        <v>1962</v>
      </c>
      <c r="F139" s="5" t="s">
        <v>19</v>
      </c>
      <c r="G139" s="5" t="s">
        <v>123</v>
      </c>
    </row>
    <row r="140" customFormat="false" ht="21.75" hidden="false" customHeight="true" outlineLevel="0" collapsed="false">
      <c r="B140" s="15" t="s">
        <v>1963</v>
      </c>
      <c r="C140" s="16" t="s">
        <v>40</v>
      </c>
      <c r="D140" s="17" t="s">
        <v>1964</v>
      </c>
      <c r="E140" s="18" t="s">
        <v>1965</v>
      </c>
      <c r="F140" s="7" t="s">
        <v>19</v>
      </c>
      <c r="G140" s="7" t="s">
        <v>55</v>
      </c>
    </row>
    <row r="141" customFormat="false" ht="21.75" hidden="false" customHeight="true" outlineLevel="0" collapsed="false">
      <c r="B141" s="11" t="s">
        <v>1966</v>
      </c>
      <c r="C141" s="12" t="s">
        <v>40</v>
      </c>
      <c r="D141" s="13" t="s">
        <v>1967</v>
      </c>
      <c r="E141" s="14" t="s">
        <v>1968</v>
      </c>
      <c r="F141" s="5" t="s">
        <v>19</v>
      </c>
      <c r="G141" s="5" t="s">
        <v>62</v>
      </c>
    </row>
    <row r="142" customFormat="false" ht="21.75" hidden="false" customHeight="true" outlineLevel="0" collapsed="false">
      <c r="B142" s="15" t="s">
        <v>1969</v>
      </c>
      <c r="C142" s="16" t="s">
        <v>40</v>
      </c>
      <c r="D142" s="17" t="s">
        <v>1970</v>
      </c>
      <c r="E142" s="18" t="s">
        <v>1971</v>
      </c>
      <c r="F142" s="7" t="s">
        <v>19</v>
      </c>
      <c r="G142" s="7" t="s">
        <v>55</v>
      </c>
    </row>
    <row r="143" customFormat="false" ht="21.75" hidden="false" customHeight="true" outlineLevel="0" collapsed="false">
      <c r="B143" s="11" t="s">
        <v>1972</v>
      </c>
      <c r="C143" s="12" t="s">
        <v>40</v>
      </c>
      <c r="D143" s="13" t="s">
        <v>1973</v>
      </c>
      <c r="E143" s="14" t="s">
        <v>1974</v>
      </c>
      <c r="F143" s="5" t="s">
        <v>19</v>
      </c>
      <c r="G143" s="5" t="s">
        <v>123</v>
      </c>
    </row>
    <row r="144" customFormat="false" ht="21.75" hidden="false" customHeight="true" outlineLevel="0" collapsed="false">
      <c r="B144" s="15" t="s">
        <v>1975</v>
      </c>
      <c r="C144" s="16" t="s">
        <v>40</v>
      </c>
      <c r="D144" s="17" t="s">
        <v>1976</v>
      </c>
      <c r="E144" s="18" t="s">
        <v>1977</v>
      </c>
      <c r="F144" s="7" t="s">
        <v>19</v>
      </c>
      <c r="G144" s="7" t="s">
        <v>55</v>
      </c>
    </row>
    <row r="145" customFormat="false" ht="21.75" hidden="false" customHeight="true" outlineLevel="0" collapsed="false">
      <c r="B145" s="11" t="s">
        <v>1978</v>
      </c>
      <c r="C145" s="12" t="s">
        <v>40</v>
      </c>
      <c r="D145" s="13" t="s">
        <v>1979</v>
      </c>
      <c r="E145" s="14" t="s">
        <v>1980</v>
      </c>
      <c r="F145" s="5" t="s">
        <v>19</v>
      </c>
      <c r="G145" s="5" t="s">
        <v>55</v>
      </c>
    </row>
    <row r="146" customFormat="false" ht="21.75" hidden="false" customHeight="true" outlineLevel="0" collapsed="false">
      <c r="B146" s="15" t="s">
        <v>1981</v>
      </c>
      <c r="C146" s="16" t="s">
        <v>40</v>
      </c>
      <c r="D146" s="17" t="s">
        <v>1982</v>
      </c>
      <c r="E146" s="18" t="s">
        <v>1983</v>
      </c>
      <c r="F146" s="7" t="s">
        <v>19</v>
      </c>
      <c r="G146" s="7" t="s">
        <v>55</v>
      </c>
    </row>
    <row r="147" customFormat="false" ht="21.75" hidden="false" customHeight="true" outlineLevel="0" collapsed="false">
      <c r="B147" s="11" t="s">
        <v>1984</v>
      </c>
      <c r="C147" s="12" t="s">
        <v>40</v>
      </c>
      <c r="D147" s="13" t="s">
        <v>1985</v>
      </c>
      <c r="E147" s="14" t="s">
        <v>1986</v>
      </c>
      <c r="F147" s="5" t="s">
        <v>19</v>
      </c>
      <c r="G147" s="5" t="s">
        <v>55</v>
      </c>
    </row>
    <row r="148" customFormat="false" ht="21.75" hidden="false" customHeight="true" outlineLevel="0" collapsed="false">
      <c r="B148" s="15" t="s">
        <v>1987</v>
      </c>
      <c r="C148" s="16" t="s">
        <v>40</v>
      </c>
      <c r="D148" s="17" t="s">
        <v>1988</v>
      </c>
      <c r="E148" s="18" t="s">
        <v>1989</v>
      </c>
      <c r="F148" s="7" t="s">
        <v>19</v>
      </c>
      <c r="G148" s="7" t="s">
        <v>55</v>
      </c>
    </row>
    <row r="149" customFormat="false" ht="21.75" hidden="false" customHeight="true" outlineLevel="0" collapsed="false">
      <c r="B149" s="11" t="s">
        <v>1990</v>
      </c>
      <c r="C149" s="12" t="s">
        <v>40</v>
      </c>
      <c r="D149" s="13" t="s">
        <v>1991</v>
      </c>
      <c r="E149" s="14" t="s">
        <v>1992</v>
      </c>
      <c r="F149" s="5" t="s">
        <v>19</v>
      </c>
      <c r="G149" s="5" t="s">
        <v>55</v>
      </c>
    </row>
    <row r="150" customFormat="false" ht="21.75" hidden="false" customHeight="true" outlineLevel="0" collapsed="false">
      <c r="B150" s="15" t="s">
        <v>1993</v>
      </c>
      <c r="C150" s="16" t="s">
        <v>40</v>
      </c>
      <c r="D150" s="17" t="s">
        <v>1994</v>
      </c>
      <c r="E150" s="18" t="s">
        <v>1995</v>
      </c>
      <c r="F150" s="7" t="s">
        <v>19</v>
      </c>
      <c r="G150" s="7" t="s">
        <v>55</v>
      </c>
    </row>
    <row r="151" customFormat="false" ht="21.75" hidden="false" customHeight="true" outlineLevel="0" collapsed="false">
      <c r="B151" s="11" t="s">
        <v>1996</v>
      </c>
      <c r="C151" s="12" t="s">
        <v>40</v>
      </c>
      <c r="D151" s="13" t="s">
        <v>1997</v>
      </c>
      <c r="E151" s="14" t="s">
        <v>1998</v>
      </c>
      <c r="F151" s="5" t="s">
        <v>19</v>
      </c>
      <c r="G151" s="5" t="s">
        <v>55</v>
      </c>
    </row>
    <row r="152" customFormat="false" ht="21.75" hidden="false" customHeight="true" outlineLevel="0" collapsed="false">
      <c r="B152" s="15" t="s">
        <v>1999</v>
      </c>
      <c r="C152" s="16" t="s">
        <v>40</v>
      </c>
      <c r="D152" s="17" t="s">
        <v>2000</v>
      </c>
      <c r="E152" s="18" t="s">
        <v>2001</v>
      </c>
      <c r="F152" s="7" t="s">
        <v>19</v>
      </c>
      <c r="G152" s="7" t="s">
        <v>55</v>
      </c>
    </row>
    <row r="153" customFormat="false" ht="21.75" hidden="false" customHeight="true" outlineLevel="0" collapsed="false">
      <c r="B153" s="11" t="s">
        <v>2002</v>
      </c>
      <c r="C153" s="12" t="s">
        <v>40</v>
      </c>
      <c r="D153" s="13" t="s">
        <v>2003</v>
      </c>
      <c r="E153" s="14" t="s">
        <v>2004</v>
      </c>
      <c r="F153" s="5" t="s">
        <v>19</v>
      </c>
      <c r="G153" s="5" t="s">
        <v>62</v>
      </c>
    </row>
    <row r="154" customFormat="false" ht="21.75" hidden="false" customHeight="true" outlineLevel="0" collapsed="false">
      <c r="B154" s="15" t="s">
        <v>2005</v>
      </c>
      <c r="C154" s="16" t="s">
        <v>40</v>
      </c>
      <c r="D154" s="17" t="s">
        <v>2006</v>
      </c>
      <c r="E154" s="18" t="s">
        <v>2007</v>
      </c>
      <c r="F154" s="7" t="s">
        <v>19</v>
      </c>
      <c r="G154" s="7" t="s">
        <v>123</v>
      </c>
    </row>
    <row r="155" customFormat="false" ht="21.75" hidden="false" customHeight="true" outlineLevel="0" collapsed="false">
      <c r="B155" s="11" t="s">
        <v>2008</v>
      </c>
      <c r="C155" s="12" t="s">
        <v>40</v>
      </c>
      <c r="D155" s="13" t="s">
        <v>2009</v>
      </c>
      <c r="E155" s="14" t="s">
        <v>2010</v>
      </c>
      <c r="F155" s="5" t="s">
        <v>19</v>
      </c>
      <c r="G155" s="5" t="s">
        <v>55</v>
      </c>
    </row>
    <row r="156" customFormat="false" ht="21.75" hidden="false" customHeight="true" outlineLevel="0" collapsed="false">
      <c r="B156" s="15" t="s">
        <v>2011</v>
      </c>
      <c r="C156" s="16" t="s">
        <v>40</v>
      </c>
      <c r="D156" s="17" t="s">
        <v>2012</v>
      </c>
      <c r="E156" s="18" t="s">
        <v>2013</v>
      </c>
      <c r="F156" s="7" t="s">
        <v>19</v>
      </c>
      <c r="G156" s="7" t="s">
        <v>62</v>
      </c>
    </row>
    <row r="157" customFormat="false" ht="21.75" hidden="false" customHeight="true" outlineLevel="0" collapsed="false">
      <c r="B157" s="11" t="s">
        <v>2014</v>
      </c>
      <c r="C157" s="12" t="s">
        <v>40</v>
      </c>
      <c r="D157" s="13" t="s">
        <v>2015</v>
      </c>
      <c r="E157" s="14" t="s">
        <v>2016</v>
      </c>
      <c r="F157" s="5" t="s">
        <v>19</v>
      </c>
      <c r="G157" s="5" t="s">
        <v>55</v>
      </c>
    </row>
    <row r="158" customFormat="false" ht="21.75" hidden="false" customHeight="true" outlineLevel="0" collapsed="false">
      <c r="B158" s="15" t="s">
        <v>2017</v>
      </c>
      <c r="C158" s="16" t="s">
        <v>40</v>
      </c>
      <c r="D158" s="17" t="s">
        <v>2018</v>
      </c>
      <c r="E158" s="18" t="s">
        <v>2019</v>
      </c>
      <c r="F158" s="7" t="s">
        <v>19</v>
      </c>
      <c r="G158" s="7" t="s">
        <v>55</v>
      </c>
    </row>
    <row r="159" customFormat="false" ht="21.75" hidden="false" customHeight="true" outlineLevel="0" collapsed="false">
      <c r="B159" s="11" t="s">
        <v>2020</v>
      </c>
      <c r="C159" s="12" t="s">
        <v>40</v>
      </c>
      <c r="D159" s="13" t="s">
        <v>2021</v>
      </c>
      <c r="E159" s="14" t="s">
        <v>2022</v>
      </c>
      <c r="F159" s="5" t="s">
        <v>19</v>
      </c>
      <c r="G159" s="5" t="s">
        <v>55</v>
      </c>
    </row>
    <row r="160" customFormat="false" ht="21.75" hidden="false" customHeight="true" outlineLevel="0" collapsed="false">
      <c r="B160" s="15" t="s">
        <v>2023</v>
      </c>
      <c r="C160" s="16" t="s">
        <v>44</v>
      </c>
      <c r="D160" s="17" t="s">
        <v>2024</v>
      </c>
      <c r="E160" s="18" t="s">
        <v>2025</v>
      </c>
      <c r="F160" s="7" t="s">
        <v>12</v>
      </c>
      <c r="G160" s="7" t="s">
        <v>123</v>
      </c>
    </row>
    <row r="161" customFormat="false" ht="21.75" hidden="false" customHeight="true" outlineLevel="0" collapsed="false">
      <c r="B161" s="11" t="s">
        <v>2026</v>
      </c>
      <c r="C161" s="12" t="s">
        <v>44</v>
      </c>
      <c r="D161" s="13" t="s">
        <v>2027</v>
      </c>
      <c r="E161" s="14" t="s">
        <v>2028</v>
      </c>
      <c r="F161" s="5" t="s">
        <v>12</v>
      </c>
      <c r="G161" s="5" t="s">
        <v>55</v>
      </c>
    </row>
    <row r="162" customFormat="false" ht="21.75" hidden="false" customHeight="true" outlineLevel="0" collapsed="false">
      <c r="B162" s="15" t="s">
        <v>2029</v>
      </c>
      <c r="C162" s="16" t="s">
        <v>44</v>
      </c>
      <c r="D162" s="17" t="s">
        <v>2030</v>
      </c>
      <c r="E162" s="18" t="s">
        <v>2031</v>
      </c>
      <c r="F162" s="7" t="s">
        <v>12</v>
      </c>
      <c r="G162" s="7" t="s">
        <v>55</v>
      </c>
    </row>
    <row r="163" customFormat="false" ht="21.75" hidden="false" customHeight="true" outlineLevel="0" collapsed="false">
      <c r="B163" s="11" t="s">
        <v>2032</v>
      </c>
      <c r="C163" s="12" t="s">
        <v>44</v>
      </c>
      <c r="D163" s="13" t="s">
        <v>2033</v>
      </c>
      <c r="E163" s="14" t="s">
        <v>2034</v>
      </c>
      <c r="F163" s="5" t="s">
        <v>19</v>
      </c>
      <c r="G163" s="5" t="s">
        <v>55</v>
      </c>
    </row>
    <row r="164" customFormat="false" ht="21.75" hidden="false" customHeight="true" outlineLevel="0" collapsed="false">
      <c r="B164" s="15" t="s">
        <v>2035</v>
      </c>
      <c r="C164" s="16" t="s">
        <v>44</v>
      </c>
      <c r="D164" s="17" t="s">
        <v>2036</v>
      </c>
      <c r="E164" s="18" t="s">
        <v>2037</v>
      </c>
      <c r="F164" s="7" t="s">
        <v>19</v>
      </c>
      <c r="G164" s="7" t="s">
        <v>123</v>
      </c>
    </row>
    <row r="165" customFormat="false" ht="21.75" hidden="false" customHeight="true" outlineLevel="0" collapsed="false">
      <c r="B165" s="11" t="s">
        <v>2038</v>
      </c>
      <c r="C165" s="12" t="s">
        <v>44</v>
      </c>
      <c r="D165" s="13" t="s">
        <v>2039</v>
      </c>
      <c r="E165" s="14" t="s">
        <v>2040</v>
      </c>
      <c r="F165" s="5" t="s">
        <v>19</v>
      </c>
      <c r="G165" s="5" t="s">
        <v>123</v>
      </c>
    </row>
    <row r="166" customFormat="false" ht="21.75" hidden="false" customHeight="true" outlineLevel="0" collapsed="false">
      <c r="B166" s="15" t="s">
        <v>2041</v>
      </c>
      <c r="C166" s="16" t="s">
        <v>44</v>
      </c>
      <c r="D166" s="17" t="s">
        <v>2042</v>
      </c>
      <c r="E166" s="18" t="s">
        <v>2043</v>
      </c>
      <c r="F166" s="7" t="s">
        <v>19</v>
      </c>
      <c r="G166" s="7" t="s">
        <v>123</v>
      </c>
    </row>
    <row r="167" customFormat="false" ht="21.75" hidden="false" customHeight="true" outlineLevel="0" collapsed="false">
      <c r="B167" s="11" t="s">
        <v>2044</v>
      </c>
      <c r="C167" s="12" t="s">
        <v>44</v>
      </c>
      <c r="D167" s="13" t="s">
        <v>2045</v>
      </c>
      <c r="E167" s="14" t="s">
        <v>2046</v>
      </c>
      <c r="F167" s="5" t="s">
        <v>19</v>
      </c>
      <c r="G167" s="5" t="s">
        <v>123</v>
      </c>
    </row>
    <row r="168" customFormat="false" ht="21.75" hidden="false" customHeight="true" outlineLevel="0" collapsed="false">
      <c r="B168" s="15" t="s">
        <v>2047</v>
      </c>
      <c r="C168" s="16" t="s">
        <v>44</v>
      </c>
      <c r="D168" s="17" t="s">
        <v>2048</v>
      </c>
      <c r="E168" s="18" t="s">
        <v>2049</v>
      </c>
      <c r="F168" s="7" t="s">
        <v>19</v>
      </c>
      <c r="G168" s="7" t="s">
        <v>123</v>
      </c>
    </row>
    <row r="169" customFormat="false" ht="21.75" hidden="false" customHeight="true" outlineLevel="0" collapsed="false">
      <c r="B169" s="11" t="s">
        <v>2050</v>
      </c>
      <c r="C169" s="12" t="s">
        <v>44</v>
      </c>
      <c r="D169" s="13" t="s">
        <v>2051</v>
      </c>
      <c r="E169" s="14" t="s">
        <v>2052</v>
      </c>
      <c r="F169" s="5" t="s">
        <v>19</v>
      </c>
      <c r="G169" s="5" t="s">
        <v>55</v>
      </c>
    </row>
    <row r="170" customFormat="false" ht="21.75" hidden="false" customHeight="true" outlineLevel="0" collapsed="false">
      <c r="B170" s="15" t="s">
        <v>2053</v>
      </c>
      <c r="C170" s="16" t="s">
        <v>44</v>
      </c>
      <c r="D170" s="17" t="s">
        <v>2054</v>
      </c>
      <c r="E170" s="18" t="s">
        <v>2055</v>
      </c>
      <c r="F170" s="7" t="s">
        <v>19</v>
      </c>
      <c r="G170" s="7" t="s">
        <v>55</v>
      </c>
    </row>
    <row r="171" customFormat="false" ht="21.75" hidden="false" customHeight="true" outlineLevel="0" collapsed="false">
      <c r="B171" s="11" t="s">
        <v>2056</v>
      </c>
      <c r="C171" s="12" t="s">
        <v>44</v>
      </c>
      <c r="D171" s="13" t="s">
        <v>2057</v>
      </c>
      <c r="E171" s="14" t="s">
        <v>2058</v>
      </c>
      <c r="F171" s="5" t="s">
        <v>19</v>
      </c>
      <c r="G171" s="5" t="s">
        <v>123</v>
      </c>
    </row>
    <row r="172" customFormat="false" ht="21.75" hidden="false" customHeight="true" outlineLevel="0" collapsed="false">
      <c r="B172" s="15" t="s">
        <v>2059</v>
      </c>
      <c r="C172" s="16" t="s">
        <v>44</v>
      </c>
      <c r="D172" s="17" t="s">
        <v>2060</v>
      </c>
      <c r="E172" s="18" t="s">
        <v>2061</v>
      </c>
      <c r="F172" s="7" t="s">
        <v>19</v>
      </c>
      <c r="G172" s="7" t="s">
        <v>55</v>
      </c>
    </row>
    <row r="173" customFormat="false" ht="21.75" hidden="false" customHeight="true" outlineLevel="0" collapsed="false">
      <c r="B173" s="11" t="s">
        <v>2062</v>
      </c>
      <c r="C173" s="12" t="s">
        <v>44</v>
      </c>
      <c r="D173" s="13" t="s">
        <v>2063</v>
      </c>
      <c r="E173" s="14" t="s">
        <v>2064</v>
      </c>
      <c r="F173" s="5" t="s">
        <v>19</v>
      </c>
      <c r="G173" s="5" t="s">
        <v>55</v>
      </c>
    </row>
    <row r="174" customFormat="false" ht="21.75" hidden="false" customHeight="true" outlineLevel="0" collapsed="false">
      <c r="B174" s="15" t="s">
        <v>2065</v>
      </c>
      <c r="C174" s="16" t="s">
        <v>44</v>
      </c>
      <c r="D174" s="17" t="s">
        <v>2066</v>
      </c>
      <c r="E174" s="18" t="s">
        <v>2067</v>
      </c>
      <c r="F174" s="7" t="s">
        <v>19</v>
      </c>
      <c r="G174" s="7" t="s">
        <v>55</v>
      </c>
    </row>
    <row r="175" customFormat="false" ht="21.75" hidden="false" customHeight="true" outlineLevel="0" collapsed="false">
      <c r="B175" s="11" t="s">
        <v>2068</v>
      </c>
      <c r="C175" s="12" t="s">
        <v>44</v>
      </c>
      <c r="D175" s="13" t="s">
        <v>2069</v>
      </c>
      <c r="E175" s="14" t="s">
        <v>2070</v>
      </c>
      <c r="F175" s="5" t="s">
        <v>12</v>
      </c>
      <c r="G175" s="5" t="s">
        <v>55</v>
      </c>
    </row>
    <row r="176" customFormat="false" ht="21.75" hidden="false" customHeight="true" outlineLevel="0" collapsed="false">
      <c r="B176" s="15" t="s">
        <v>2071</v>
      </c>
      <c r="C176" s="16" t="s">
        <v>44</v>
      </c>
      <c r="D176" s="17" t="s">
        <v>2072</v>
      </c>
      <c r="E176" s="18" t="s">
        <v>2073</v>
      </c>
      <c r="F176" s="7" t="s">
        <v>19</v>
      </c>
      <c r="G176" s="7" t="s">
        <v>123</v>
      </c>
    </row>
    <row r="177" customFormat="false" ht="21.75" hidden="false" customHeight="true" outlineLevel="0" collapsed="false">
      <c r="B177" s="11" t="s">
        <v>2074</v>
      </c>
      <c r="C177" s="12" t="s">
        <v>44</v>
      </c>
      <c r="D177" s="13" t="s">
        <v>2075</v>
      </c>
      <c r="E177" s="14" t="s">
        <v>2076</v>
      </c>
      <c r="F177" s="5" t="s">
        <v>19</v>
      </c>
      <c r="G177" s="5" t="s">
        <v>55</v>
      </c>
    </row>
    <row r="178" customFormat="false" ht="21.75" hidden="false" customHeight="true" outlineLevel="0" collapsed="false">
      <c r="B178" s="15" t="s">
        <v>2077</v>
      </c>
      <c r="C178" s="16" t="s">
        <v>44</v>
      </c>
      <c r="D178" s="17" t="s">
        <v>2078</v>
      </c>
      <c r="E178" s="18" t="s">
        <v>2079</v>
      </c>
      <c r="F178" s="7" t="s">
        <v>19</v>
      </c>
      <c r="G178" s="7" t="s">
        <v>62</v>
      </c>
    </row>
    <row r="179" customFormat="false" ht="21.75" hidden="false" customHeight="true" outlineLevel="0" collapsed="false">
      <c r="B179" s="11" t="s">
        <v>2080</v>
      </c>
      <c r="C179" s="12" t="s">
        <v>44</v>
      </c>
      <c r="D179" s="13" t="s">
        <v>2081</v>
      </c>
      <c r="E179" s="14" t="s">
        <v>2082</v>
      </c>
      <c r="F179" s="5" t="s">
        <v>19</v>
      </c>
      <c r="G179" s="5" t="s">
        <v>55</v>
      </c>
    </row>
    <row r="180" customFormat="false" ht="21.75" hidden="false" customHeight="true" outlineLevel="0" collapsed="false">
      <c r="B180" s="15" t="s">
        <v>2083</v>
      </c>
      <c r="C180" s="16" t="s">
        <v>44</v>
      </c>
      <c r="D180" s="17" t="s">
        <v>2084</v>
      </c>
      <c r="E180" s="18" t="s">
        <v>2085</v>
      </c>
      <c r="F180" s="7" t="s">
        <v>19</v>
      </c>
      <c r="G180" s="7" t="s">
        <v>55</v>
      </c>
    </row>
    <row r="181" customFormat="false" ht="21.75" hidden="false" customHeight="true" outlineLevel="0" collapsed="false">
      <c r="B181" s="11" t="s">
        <v>2086</v>
      </c>
      <c r="C181" s="12" t="s">
        <v>44</v>
      </c>
      <c r="D181" s="13" t="s">
        <v>2087</v>
      </c>
      <c r="E181" s="14" t="s">
        <v>2088</v>
      </c>
      <c r="F181" s="5" t="s">
        <v>19</v>
      </c>
      <c r="G181" s="5" t="s">
        <v>55</v>
      </c>
    </row>
    <row r="182" customFormat="false" ht="21.75" hidden="false" customHeight="true" outlineLevel="0" collapsed="false">
      <c r="B182" s="15" t="s">
        <v>2089</v>
      </c>
      <c r="C182" s="16" t="s">
        <v>44</v>
      </c>
      <c r="D182" s="17" t="s">
        <v>2090</v>
      </c>
      <c r="E182" s="18" t="s">
        <v>2091</v>
      </c>
      <c r="F182" s="7" t="s">
        <v>19</v>
      </c>
      <c r="G182" s="7" t="s">
        <v>123</v>
      </c>
    </row>
    <row r="183" customFormat="false" ht="21.75" hidden="false" customHeight="true" outlineLevel="0" collapsed="false">
      <c r="B183" s="11" t="s">
        <v>2092</v>
      </c>
      <c r="C183" s="12" t="s">
        <v>44</v>
      </c>
      <c r="D183" s="13" t="s">
        <v>2093</v>
      </c>
      <c r="E183" s="14" t="s">
        <v>2094</v>
      </c>
      <c r="F183" s="5" t="s">
        <v>19</v>
      </c>
      <c r="G183" s="5" t="s">
        <v>55</v>
      </c>
    </row>
    <row r="184" customFormat="false" ht="21.75" hidden="false" customHeight="true" outlineLevel="0" collapsed="false">
      <c r="B184" s="15" t="s">
        <v>2095</v>
      </c>
      <c r="C184" s="16" t="s">
        <v>44</v>
      </c>
      <c r="D184" s="17" t="s">
        <v>2096</v>
      </c>
      <c r="E184" s="18" t="s">
        <v>2097</v>
      </c>
      <c r="F184" s="7" t="s">
        <v>19</v>
      </c>
      <c r="G184" s="7" t="s">
        <v>123</v>
      </c>
    </row>
    <row r="185" customFormat="false" ht="21.75" hidden="false" customHeight="true" outlineLevel="0" collapsed="false">
      <c r="B185" s="11" t="s">
        <v>2098</v>
      </c>
      <c r="C185" s="12" t="s">
        <v>44</v>
      </c>
      <c r="D185" s="13" t="s">
        <v>2099</v>
      </c>
      <c r="E185" s="14" t="s">
        <v>2100</v>
      </c>
      <c r="F185" s="5" t="s">
        <v>19</v>
      </c>
      <c r="G185" s="5" t="s">
        <v>123</v>
      </c>
    </row>
    <row r="186" customFormat="false" ht="21.75" hidden="false" customHeight="true" outlineLevel="0" collapsed="false">
      <c r="B186" s="15" t="s">
        <v>2101</v>
      </c>
      <c r="C186" s="16" t="s">
        <v>44</v>
      </c>
      <c r="D186" s="17" t="s">
        <v>2102</v>
      </c>
      <c r="E186" s="18" t="s">
        <v>2103</v>
      </c>
      <c r="F186" s="7" t="s">
        <v>19</v>
      </c>
      <c r="G186" s="7" t="s">
        <v>55</v>
      </c>
    </row>
    <row r="187" customFormat="false" ht="21.75" hidden="false" customHeight="true" outlineLevel="0" collapsed="false">
      <c r="B187" s="11" t="s">
        <v>2104</v>
      </c>
      <c r="C187" s="12" t="s">
        <v>44</v>
      </c>
      <c r="D187" s="13" t="s">
        <v>2105</v>
      </c>
      <c r="E187" s="14" t="s">
        <v>2106</v>
      </c>
      <c r="F187" s="5" t="s">
        <v>19</v>
      </c>
      <c r="G187" s="5" t="s">
        <v>55</v>
      </c>
    </row>
    <row r="188" customFormat="false" ht="21.75" hidden="false" customHeight="true" outlineLevel="0" collapsed="false">
      <c r="B188" s="15" t="s">
        <v>2107</v>
      </c>
      <c r="C188" s="16" t="s">
        <v>44</v>
      </c>
      <c r="D188" s="17" t="s">
        <v>2108</v>
      </c>
      <c r="E188" s="18" t="s">
        <v>2109</v>
      </c>
      <c r="F188" s="7" t="s">
        <v>19</v>
      </c>
      <c r="G188" s="7" t="s">
        <v>55</v>
      </c>
    </row>
    <row r="189" customFormat="false" ht="21.75" hidden="false" customHeight="true" outlineLevel="0" collapsed="false">
      <c r="B189" s="11" t="s">
        <v>2110</v>
      </c>
      <c r="C189" s="12" t="s">
        <v>44</v>
      </c>
      <c r="D189" s="13" t="s">
        <v>2111</v>
      </c>
      <c r="E189" s="14" t="s">
        <v>2112</v>
      </c>
      <c r="F189" s="5" t="s">
        <v>19</v>
      </c>
      <c r="G189" s="5" t="s">
        <v>55</v>
      </c>
    </row>
    <row r="190" customFormat="false" ht="21.75" hidden="false" customHeight="true" outlineLevel="0" collapsed="false">
      <c r="B190" s="15" t="s">
        <v>2113</v>
      </c>
      <c r="C190" s="16" t="s">
        <v>44</v>
      </c>
      <c r="D190" s="17" t="s">
        <v>2114</v>
      </c>
      <c r="E190" s="18" t="s">
        <v>2115</v>
      </c>
      <c r="F190" s="7" t="s">
        <v>19</v>
      </c>
      <c r="G190" s="7" t="s">
        <v>55</v>
      </c>
    </row>
    <row r="191" customFormat="false" ht="21.75" hidden="false" customHeight="true" outlineLevel="0" collapsed="false">
      <c r="B191" s="11" t="s">
        <v>2116</v>
      </c>
      <c r="C191" s="12" t="s">
        <v>44</v>
      </c>
      <c r="D191" s="13" t="s">
        <v>2117</v>
      </c>
      <c r="E191" s="14" t="s">
        <v>2118</v>
      </c>
      <c r="F191" s="5" t="s">
        <v>19</v>
      </c>
      <c r="G191" s="5" t="s">
        <v>62</v>
      </c>
    </row>
    <row r="192" customFormat="false" ht="21.75" hidden="false" customHeight="true" outlineLevel="0" collapsed="false">
      <c r="B192" s="15" t="s">
        <v>2119</v>
      </c>
      <c r="C192" s="16" t="s">
        <v>44</v>
      </c>
      <c r="D192" s="17" t="s">
        <v>2120</v>
      </c>
      <c r="E192" s="18" t="s">
        <v>2121</v>
      </c>
      <c r="F192" s="7" t="s">
        <v>19</v>
      </c>
      <c r="G192" s="7" t="s">
        <v>123</v>
      </c>
    </row>
    <row r="193" customFormat="false" ht="21.75" hidden="false" customHeight="true" outlineLevel="0" collapsed="false">
      <c r="B193" s="11" t="s">
        <v>2122</v>
      </c>
      <c r="C193" s="12" t="s">
        <v>44</v>
      </c>
      <c r="D193" s="13" t="s">
        <v>2123</v>
      </c>
      <c r="E193" s="14" t="s">
        <v>2124</v>
      </c>
      <c r="F193" s="5" t="s">
        <v>19</v>
      </c>
      <c r="G193" s="5" t="s">
        <v>123</v>
      </c>
    </row>
    <row r="194" customFormat="false" ht="21.75" hidden="false" customHeight="true" outlineLevel="0" collapsed="false">
      <c r="B194" s="15" t="s">
        <v>2125</v>
      </c>
      <c r="C194" s="16" t="s">
        <v>44</v>
      </c>
      <c r="D194" s="17" t="s">
        <v>2126</v>
      </c>
      <c r="E194" s="18" t="s">
        <v>2127</v>
      </c>
      <c r="F194" s="7" t="s">
        <v>19</v>
      </c>
      <c r="G194" s="7" t="s">
        <v>123</v>
      </c>
    </row>
    <row r="195" customFormat="false" ht="21.75" hidden="false" customHeight="true" outlineLevel="0" collapsed="false">
      <c r="B195" s="11" t="s">
        <v>2128</v>
      </c>
      <c r="C195" s="12" t="s">
        <v>42</v>
      </c>
      <c r="D195" s="13" t="s">
        <v>2129</v>
      </c>
      <c r="E195" s="14" t="s">
        <v>2130</v>
      </c>
      <c r="F195" s="5" t="s">
        <v>20</v>
      </c>
      <c r="G195" s="5" t="s">
        <v>229</v>
      </c>
    </row>
    <row r="196" customFormat="false" ht="21.75" hidden="false" customHeight="true" outlineLevel="0" collapsed="false">
      <c r="B196" s="15" t="s">
        <v>2131</v>
      </c>
      <c r="C196" s="16" t="s">
        <v>42</v>
      </c>
      <c r="D196" s="17" t="s">
        <v>2132</v>
      </c>
      <c r="E196" s="18" t="s">
        <v>2133</v>
      </c>
      <c r="F196" s="7" t="s">
        <v>19</v>
      </c>
      <c r="G196" s="7" t="s">
        <v>62</v>
      </c>
    </row>
    <row r="197" customFormat="false" ht="21.75" hidden="false" customHeight="true" outlineLevel="0" collapsed="false">
      <c r="B197" s="11" t="s">
        <v>2134</v>
      </c>
      <c r="C197" s="12" t="s">
        <v>42</v>
      </c>
      <c r="D197" s="13" t="s">
        <v>2135</v>
      </c>
      <c r="E197" s="14" t="s">
        <v>2136</v>
      </c>
      <c r="F197" s="5" t="s">
        <v>20</v>
      </c>
      <c r="G197" s="5" t="s">
        <v>62</v>
      </c>
    </row>
    <row r="198" customFormat="false" ht="21.75" hidden="false" customHeight="true" outlineLevel="0" collapsed="false">
      <c r="B198" s="15" t="s">
        <v>2137</v>
      </c>
      <c r="C198" s="16" t="s">
        <v>42</v>
      </c>
      <c r="D198" s="17" t="s">
        <v>2138</v>
      </c>
      <c r="E198" s="18" t="s">
        <v>2139</v>
      </c>
      <c r="F198" s="7" t="s">
        <v>12</v>
      </c>
      <c r="G198" s="7" t="s">
        <v>62</v>
      </c>
    </row>
    <row r="199" customFormat="false" ht="21.75" hidden="false" customHeight="true" outlineLevel="0" collapsed="false">
      <c r="B199" s="11" t="s">
        <v>2140</v>
      </c>
      <c r="C199" s="12" t="s">
        <v>42</v>
      </c>
      <c r="D199" s="13" t="s">
        <v>2141</v>
      </c>
      <c r="E199" s="14" t="s">
        <v>2142</v>
      </c>
      <c r="F199" s="5" t="s">
        <v>12</v>
      </c>
      <c r="G199" s="5" t="s">
        <v>62</v>
      </c>
    </row>
    <row r="200" customFormat="false" ht="21.75" hidden="false" customHeight="true" outlineLevel="0" collapsed="false">
      <c r="B200" s="15" t="s">
        <v>2143</v>
      </c>
      <c r="C200" s="16" t="s">
        <v>42</v>
      </c>
      <c r="D200" s="17" t="s">
        <v>2144</v>
      </c>
      <c r="E200" s="18" t="s">
        <v>2145</v>
      </c>
      <c r="F200" s="7" t="s">
        <v>12</v>
      </c>
      <c r="G200" s="7" t="s">
        <v>62</v>
      </c>
    </row>
    <row r="201" customFormat="false" ht="21.75" hidden="false" customHeight="true" outlineLevel="0" collapsed="false">
      <c r="B201" s="11" t="s">
        <v>2146</v>
      </c>
      <c r="C201" s="12" t="s">
        <v>42</v>
      </c>
      <c r="D201" s="13" t="s">
        <v>2147</v>
      </c>
      <c r="E201" s="14" t="s">
        <v>2148</v>
      </c>
      <c r="F201" s="5" t="s">
        <v>20</v>
      </c>
      <c r="G201" s="5" t="s">
        <v>229</v>
      </c>
    </row>
    <row r="202" customFormat="false" ht="21.75" hidden="false" customHeight="true" outlineLevel="0" collapsed="false">
      <c r="B202" s="15" t="s">
        <v>2149</v>
      </c>
      <c r="C202" s="16" t="s">
        <v>42</v>
      </c>
      <c r="D202" s="17" t="s">
        <v>2150</v>
      </c>
      <c r="E202" s="18" t="s">
        <v>2151</v>
      </c>
      <c r="F202" s="7" t="s">
        <v>12</v>
      </c>
      <c r="G202" s="7" t="s">
        <v>55</v>
      </c>
    </row>
    <row r="203" customFormat="false" ht="21.75" hidden="false" customHeight="true" outlineLevel="0" collapsed="false">
      <c r="B203" s="11" t="s">
        <v>2152</v>
      </c>
      <c r="C203" s="12" t="s">
        <v>42</v>
      </c>
      <c r="D203" s="13" t="s">
        <v>2153</v>
      </c>
      <c r="E203" s="14" t="s">
        <v>2154</v>
      </c>
      <c r="F203" s="5" t="s">
        <v>12</v>
      </c>
      <c r="G203" s="5" t="s">
        <v>62</v>
      </c>
    </row>
    <row r="204" customFormat="false" ht="21.75" hidden="false" customHeight="true" outlineLevel="0" collapsed="false">
      <c r="B204" s="15" t="s">
        <v>2155</v>
      </c>
      <c r="C204" s="16" t="s">
        <v>42</v>
      </c>
      <c r="D204" s="17" t="s">
        <v>2156</v>
      </c>
      <c r="E204" s="18" t="s">
        <v>2157</v>
      </c>
      <c r="F204" s="7" t="s">
        <v>12</v>
      </c>
      <c r="G204" s="7" t="s">
        <v>62</v>
      </c>
    </row>
    <row r="205" customFormat="false" ht="21.75" hidden="false" customHeight="true" outlineLevel="0" collapsed="false">
      <c r="B205" s="11" t="s">
        <v>2158</v>
      </c>
      <c r="C205" s="12" t="s">
        <v>42</v>
      </c>
      <c r="D205" s="13" t="s">
        <v>2159</v>
      </c>
      <c r="E205" s="14" t="s">
        <v>2160</v>
      </c>
      <c r="F205" s="5" t="s">
        <v>12</v>
      </c>
      <c r="G205" s="5" t="s">
        <v>62</v>
      </c>
    </row>
    <row r="206" customFormat="false" ht="21.75" hidden="false" customHeight="true" outlineLevel="0" collapsed="false">
      <c r="B206" s="15" t="s">
        <v>2161</v>
      </c>
      <c r="C206" s="16" t="s">
        <v>42</v>
      </c>
      <c r="D206" s="17" t="s">
        <v>2162</v>
      </c>
      <c r="E206" s="18" t="s">
        <v>2163</v>
      </c>
      <c r="F206" s="7" t="s">
        <v>20</v>
      </c>
      <c r="G206" s="7" t="s">
        <v>229</v>
      </c>
    </row>
    <row r="207" customFormat="false" ht="21.75" hidden="false" customHeight="true" outlineLevel="0" collapsed="false">
      <c r="B207" s="11" t="s">
        <v>2164</v>
      </c>
      <c r="C207" s="12" t="s">
        <v>42</v>
      </c>
      <c r="D207" s="13" t="s">
        <v>2165</v>
      </c>
      <c r="E207" s="14" t="s">
        <v>2166</v>
      </c>
      <c r="F207" s="5" t="s">
        <v>12</v>
      </c>
      <c r="G207" s="5" t="s">
        <v>62</v>
      </c>
    </row>
    <row r="208" customFormat="false" ht="21.75" hidden="false" customHeight="true" outlineLevel="0" collapsed="false">
      <c r="B208" s="15" t="s">
        <v>2167</v>
      </c>
      <c r="C208" s="16" t="s">
        <v>42</v>
      </c>
      <c r="D208" s="17" t="s">
        <v>2168</v>
      </c>
      <c r="E208" s="18" t="s">
        <v>2169</v>
      </c>
      <c r="F208" s="7" t="s">
        <v>19</v>
      </c>
      <c r="G208" s="7" t="s">
        <v>229</v>
      </c>
    </row>
    <row r="209" customFormat="false" ht="21.75" hidden="false" customHeight="true" outlineLevel="0" collapsed="false">
      <c r="B209" s="11" t="s">
        <v>2170</v>
      </c>
      <c r="C209" s="12" t="s">
        <v>42</v>
      </c>
      <c r="D209" s="13" t="s">
        <v>2171</v>
      </c>
      <c r="E209" s="14" t="s">
        <v>2172</v>
      </c>
      <c r="F209" s="5" t="s">
        <v>19</v>
      </c>
      <c r="G209" s="5" t="s">
        <v>62</v>
      </c>
    </row>
    <row r="210" customFormat="false" ht="21.75" hidden="false" customHeight="true" outlineLevel="0" collapsed="false">
      <c r="B210" s="15" t="s">
        <v>2173</v>
      </c>
      <c r="C210" s="16" t="s">
        <v>42</v>
      </c>
      <c r="D210" s="17" t="s">
        <v>2174</v>
      </c>
      <c r="E210" s="18" t="s">
        <v>2175</v>
      </c>
      <c r="F210" s="7" t="s">
        <v>19</v>
      </c>
      <c r="G210" s="7" t="s">
        <v>229</v>
      </c>
    </row>
    <row r="211" customFormat="false" ht="21.75" hidden="false" customHeight="true" outlineLevel="0" collapsed="false">
      <c r="B211" s="11" t="s">
        <v>2176</v>
      </c>
      <c r="C211" s="12" t="s">
        <v>42</v>
      </c>
      <c r="D211" s="13" t="s">
        <v>2177</v>
      </c>
      <c r="E211" s="14" t="s">
        <v>2178</v>
      </c>
      <c r="F211" s="5" t="s">
        <v>12</v>
      </c>
      <c r="G211" s="5" t="s">
        <v>62</v>
      </c>
    </row>
    <row r="212" customFormat="false" ht="21.75" hidden="false" customHeight="true" outlineLevel="0" collapsed="false">
      <c r="B212" s="15" t="s">
        <v>2179</v>
      </c>
      <c r="C212" s="16" t="s">
        <v>42</v>
      </c>
      <c r="D212" s="17" t="s">
        <v>2180</v>
      </c>
      <c r="E212" s="18" t="s">
        <v>2181</v>
      </c>
      <c r="F212" s="7" t="s">
        <v>20</v>
      </c>
      <c r="G212" s="7" t="s">
        <v>229</v>
      </c>
    </row>
    <row r="213" customFormat="false" ht="21.75" hidden="false" customHeight="true" outlineLevel="0" collapsed="false">
      <c r="B213" s="11" t="s">
        <v>2182</v>
      </c>
      <c r="C213" s="12" t="s">
        <v>42</v>
      </c>
      <c r="D213" s="13" t="s">
        <v>2183</v>
      </c>
      <c r="E213" s="14" t="s">
        <v>2184</v>
      </c>
      <c r="F213" s="5" t="s">
        <v>12</v>
      </c>
      <c r="G213" s="5" t="s">
        <v>229</v>
      </c>
    </row>
    <row r="214" customFormat="false" ht="21.75" hidden="false" customHeight="true" outlineLevel="0" collapsed="false">
      <c r="B214" s="15" t="s">
        <v>2185</v>
      </c>
      <c r="C214" s="16" t="s">
        <v>42</v>
      </c>
      <c r="D214" s="17" t="s">
        <v>2186</v>
      </c>
      <c r="E214" s="18" t="s">
        <v>2187</v>
      </c>
      <c r="F214" s="7" t="s">
        <v>20</v>
      </c>
      <c r="G214" s="7" t="s">
        <v>229</v>
      </c>
    </row>
    <row r="215" customFormat="false" ht="21.75" hidden="false" customHeight="true" outlineLevel="0" collapsed="false">
      <c r="B215" s="11" t="s">
        <v>2188</v>
      </c>
      <c r="C215" s="12" t="s">
        <v>42</v>
      </c>
      <c r="D215" s="13" t="s">
        <v>2189</v>
      </c>
      <c r="E215" s="14" t="s">
        <v>2190</v>
      </c>
      <c r="F215" s="5" t="s">
        <v>12</v>
      </c>
      <c r="G215" s="5" t="s">
        <v>62</v>
      </c>
    </row>
    <row r="216" customFormat="false" ht="21.75" hidden="false" customHeight="true" outlineLevel="0" collapsed="false">
      <c r="B216" s="15" t="s">
        <v>2191</v>
      </c>
      <c r="C216" s="16" t="s">
        <v>42</v>
      </c>
      <c r="D216" s="17" t="s">
        <v>2192</v>
      </c>
      <c r="E216" s="18" t="s">
        <v>2193</v>
      </c>
      <c r="F216" s="7" t="s">
        <v>12</v>
      </c>
      <c r="G216" s="7" t="s">
        <v>62</v>
      </c>
    </row>
    <row r="217" customFormat="false" ht="21.75" hidden="false" customHeight="true" outlineLevel="0" collapsed="false">
      <c r="B217" s="11" t="s">
        <v>2194</v>
      </c>
      <c r="C217" s="12" t="s">
        <v>42</v>
      </c>
      <c r="D217" s="13" t="s">
        <v>2195</v>
      </c>
      <c r="E217" s="14" t="s">
        <v>2196</v>
      </c>
      <c r="F217" s="5" t="s">
        <v>12</v>
      </c>
      <c r="G217" s="5" t="s">
        <v>62</v>
      </c>
    </row>
    <row r="218" customFormat="false" ht="21.75" hidden="false" customHeight="true" outlineLevel="0" collapsed="false">
      <c r="B218" s="15" t="s">
        <v>2197</v>
      </c>
      <c r="C218" s="16" t="s">
        <v>42</v>
      </c>
      <c r="D218" s="17" t="s">
        <v>2198</v>
      </c>
      <c r="E218" s="18" t="s">
        <v>2199</v>
      </c>
      <c r="F218" s="7" t="s">
        <v>12</v>
      </c>
      <c r="G218" s="7" t="s">
        <v>62</v>
      </c>
    </row>
    <row r="219" customFormat="false" ht="21.75" hidden="false" customHeight="true" outlineLevel="0" collapsed="false">
      <c r="B219" s="11" t="s">
        <v>2200</v>
      </c>
      <c r="C219" s="12" t="s">
        <v>42</v>
      </c>
      <c r="D219" s="13" t="s">
        <v>2201</v>
      </c>
      <c r="E219" s="14" t="s">
        <v>2202</v>
      </c>
      <c r="F219" s="5" t="s">
        <v>12</v>
      </c>
      <c r="G219" s="5" t="s">
        <v>229</v>
      </c>
    </row>
    <row r="220" customFormat="false" ht="21.75" hidden="false" customHeight="true" outlineLevel="0" collapsed="false">
      <c r="B220" s="15" t="s">
        <v>2203</v>
      </c>
      <c r="C220" s="16" t="s">
        <v>42</v>
      </c>
      <c r="D220" s="17" t="s">
        <v>2204</v>
      </c>
      <c r="E220" s="18" t="s">
        <v>2205</v>
      </c>
      <c r="F220" s="7" t="s">
        <v>12</v>
      </c>
      <c r="G220" s="7" t="s">
        <v>62</v>
      </c>
    </row>
    <row r="221" customFormat="false" ht="21.75" hidden="false" customHeight="true" outlineLevel="0" collapsed="false">
      <c r="B221" s="11" t="s">
        <v>2206</v>
      </c>
      <c r="C221" s="12" t="s">
        <v>42</v>
      </c>
      <c r="D221" s="13" t="s">
        <v>2207</v>
      </c>
      <c r="E221" s="14" t="s">
        <v>2208</v>
      </c>
      <c r="F221" s="5" t="s">
        <v>19</v>
      </c>
      <c r="G221" s="5" t="s">
        <v>55</v>
      </c>
    </row>
    <row r="222" customFormat="false" ht="21.75" hidden="false" customHeight="true" outlineLevel="0" collapsed="false">
      <c r="B222" s="15" t="s">
        <v>2209</v>
      </c>
      <c r="C222" s="16" t="s">
        <v>42</v>
      </c>
      <c r="D222" s="17" t="s">
        <v>2210</v>
      </c>
      <c r="E222" s="18" t="s">
        <v>2211</v>
      </c>
      <c r="F222" s="7" t="s">
        <v>12</v>
      </c>
      <c r="G222" s="7" t="s">
        <v>62</v>
      </c>
    </row>
    <row r="223" customFormat="false" ht="21.75" hidden="false" customHeight="true" outlineLevel="0" collapsed="false">
      <c r="B223" s="11" t="s">
        <v>2212</v>
      </c>
      <c r="C223" s="12" t="s">
        <v>42</v>
      </c>
      <c r="D223" s="13" t="s">
        <v>2213</v>
      </c>
      <c r="E223" s="14" t="s">
        <v>2214</v>
      </c>
      <c r="F223" s="5" t="s">
        <v>12</v>
      </c>
      <c r="G223" s="5" t="s">
        <v>62</v>
      </c>
    </row>
    <row r="224" customFormat="false" ht="21.75" hidden="false" customHeight="true" outlineLevel="0" collapsed="false">
      <c r="B224" s="15" t="s">
        <v>2215</v>
      </c>
      <c r="C224" s="16" t="s">
        <v>42</v>
      </c>
      <c r="D224" s="17" t="s">
        <v>2216</v>
      </c>
      <c r="E224" s="18" t="s">
        <v>2217</v>
      </c>
      <c r="F224" s="7" t="s">
        <v>20</v>
      </c>
      <c r="G224" s="7" t="s">
        <v>229</v>
      </c>
    </row>
    <row r="225" customFormat="false" ht="21.75" hidden="false" customHeight="true" outlineLevel="0" collapsed="false">
      <c r="B225" s="11" t="s">
        <v>2218</v>
      </c>
      <c r="C225" s="12" t="s">
        <v>42</v>
      </c>
      <c r="D225" s="13" t="s">
        <v>2219</v>
      </c>
      <c r="E225" s="14" t="s">
        <v>2220</v>
      </c>
      <c r="F225" s="5" t="s">
        <v>12</v>
      </c>
      <c r="G225" s="5" t="s">
        <v>62</v>
      </c>
    </row>
    <row r="226" customFormat="false" ht="21.75" hidden="false" customHeight="true" outlineLevel="0" collapsed="false">
      <c r="B226" s="15" t="s">
        <v>2221</v>
      </c>
      <c r="C226" s="16" t="s">
        <v>42</v>
      </c>
      <c r="D226" s="17" t="s">
        <v>2222</v>
      </c>
      <c r="E226" s="18" t="s">
        <v>2223</v>
      </c>
      <c r="F226" s="7" t="s">
        <v>19</v>
      </c>
      <c r="G226" s="7" t="s">
        <v>55</v>
      </c>
    </row>
    <row r="227" customFormat="false" ht="21.75" hidden="false" customHeight="true" outlineLevel="0" collapsed="false">
      <c r="B227" s="11" t="s">
        <v>2224</v>
      </c>
      <c r="C227" s="12" t="s">
        <v>42</v>
      </c>
      <c r="D227" s="13" t="s">
        <v>2225</v>
      </c>
      <c r="E227" s="14" t="s">
        <v>2226</v>
      </c>
      <c r="F227" s="5" t="s">
        <v>12</v>
      </c>
      <c r="G227" s="5" t="s">
        <v>62</v>
      </c>
    </row>
    <row r="228" customFormat="false" ht="21.75" hidden="false" customHeight="true" outlineLevel="0" collapsed="false">
      <c r="B228" s="15" t="s">
        <v>2227</v>
      </c>
      <c r="C228" s="16" t="s">
        <v>42</v>
      </c>
      <c r="D228" s="17" t="s">
        <v>2228</v>
      </c>
      <c r="E228" s="18" t="s">
        <v>2229</v>
      </c>
      <c r="F228" s="7" t="s">
        <v>12</v>
      </c>
      <c r="G228" s="7" t="s">
        <v>62</v>
      </c>
    </row>
    <row r="229" customFormat="false" ht="21.75" hidden="false" customHeight="true" outlineLevel="0" collapsed="false">
      <c r="B229" s="11" t="s">
        <v>2230</v>
      </c>
      <c r="C229" s="12" t="s">
        <v>42</v>
      </c>
      <c r="D229" s="13" t="s">
        <v>2231</v>
      </c>
      <c r="E229" s="14" t="s">
        <v>2232</v>
      </c>
      <c r="F229" s="5" t="s">
        <v>12</v>
      </c>
      <c r="G229" s="5" t="s">
        <v>62</v>
      </c>
    </row>
    <row r="230" customFormat="false" ht="21.75" hidden="false" customHeight="true" outlineLevel="0" collapsed="false">
      <c r="B230" s="15" t="s">
        <v>2233</v>
      </c>
      <c r="C230" s="16" t="s">
        <v>42</v>
      </c>
      <c r="D230" s="17" t="s">
        <v>2234</v>
      </c>
      <c r="E230" s="18" t="s">
        <v>2235</v>
      </c>
      <c r="F230" s="7" t="s">
        <v>12</v>
      </c>
      <c r="G230" s="7" t="s">
        <v>62</v>
      </c>
    </row>
    <row r="231" customFormat="false" ht="21.75" hidden="false" customHeight="true" outlineLevel="0" collapsed="false">
      <c r="B231" s="11" t="s">
        <v>2236</v>
      </c>
      <c r="C231" s="12" t="s">
        <v>42</v>
      </c>
      <c r="D231" s="13" t="s">
        <v>2237</v>
      </c>
      <c r="E231" s="14" t="s">
        <v>2238</v>
      </c>
      <c r="F231" s="5" t="s">
        <v>12</v>
      </c>
      <c r="G231" s="5" t="s">
        <v>229</v>
      </c>
    </row>
    <row r="232" customFormat="false" ht="21.75" hidden="false" customHeight="true" outlineLevel="0" collapsed="false">
      <c r="B232" s="15" t="s">
        <v>2239</v>
      </c>
      <c r="C232" s="16" t="s">
        <v>42</v>
      </c>
      <c r="D232" s="17" t="s">
        <v>2240</v>
      </c>
      <c r="E232" s="18" t="s">
        <v>2241</v>
      </c>
      <c r="F232" s="7" t="s">
        <v>12</v>
      </c>
      <c r="G232" s="7" t="s">
        <v>62</v>
      </c>
    </row>
    <row r="233" customFormat="false" ht="21.75" hidden="false" customHeight="true" outlineLevel="0" collapsed="false">
      <c r="B233" s="11" t="s">
        <v>2242</v>
      </c>
      <c r="C233" s="12" t="s">
        <v>42</v>
      </c>
      <c r="D233" s="13" t="s">
        <v>2243</v>
      </c>
      <c r="E233" s="14" t="s">
        <v>2244</v>
      </c>
      <c r="F233" s="5" t="s">
        <v>12</v>
      </c>
      <c r="G233" s="5" t="s">
        <v>62</v>
      </c>
    </row>
    <row r="234" customFormat="false" ht="21.75" hidden="false" customHeight="true" outlineLevel="0" collapsed="false">
      <c r="B234" s="15" t="s">
        <v>2245</v>
      </c>
      <c r="C234" s="16" t="s">
        <v>42</v>
      </c>
      <c r="D234" s="17" t="s">
        <v>2246</v>
      </c>
      <c r="E234" s="18" t="s">
        <v>2247</v>
      </c>
      <c r="F234" s="7" t="s">
        <v>12</v>
      </c>
      <c r="G234" s="7" t="s">
        <v>62</v>
      </c>
    </row>
    <row r="235" customFormat="false" ht="21.75" hidden="false" customHeight="true" outlineLevel="0" collapsed="false">
      <c r="B235" s="11" t="s">
        <v>2248</v>
      </c>
      <c r="C235" s="12" t="s">
        <v>42</v>
      </c>
      <c r="D235" s="13" t="s">
        <v>2249</v>
      </c>
      <c r="E235" s="14" t="s">
        <v>2250</v>
      </c>
      <c r="F235" s="5" t="s">
        <v>19</v>
      </c>
      <c r="G235" s="5" t="s">
        <v>55</v>
      </c>
    </row>
    <row r="236" customFormat="false" ht="21.75" hidden="false" customHeight="true" outlineLevel="0" collapsed="false">
      <c r="B236" s="15" t="s">
        <v>2251</v>
      </c>
      <c r="C236" s="16" t="s">
        <v>42</v>
      </c>
      <c r="D236" s="17" t="s">
        <v>2252</v>
      </c>
      <c r="E236" s="18" t="s">
        <v>2253</v>
      </c>
      <c r="F236" s="7" t="s">
        <v>12</v>
      </c>
      <c r="G236" s="7" t="s">
        <v>229</v>
      </c>
    </row>
    <row r="237" customFormat="false" ht="21.75" hidden="false" customHeight="true" outlineLevel="0" collapsed="false">
      <c r="B237" s="11" t="s">
        <v>2254</v>
      </c>
      <c r="C237" s="12" t="s">
        <v>42</v>
      </c>
      <c r="D237" s="13" t="s">
        <v>2255</v>
      </c>
      <c r="E237" s="14" t="s">
        <v>2256</v>
      </c>
      <c r="F237" s="5" t="s">
        <v>12</v>
      </c>
      <c r="G237" s="5" t="s">
        <v>229</v>
      </c>
    </row>
    <row r="238" customFormat="false" ht="21.75" hidden="false" customHeight="true" outlineLevel="0" collapsed="false">
      <c r="B238" s="15" t="s">
        <v>2257</v>
      </c>
      <c r="C238" s="16" t="s">
        <v>42</v>
      </c>
      <c r="D238" s="17" t="s">
        <v>2258</v>
      </c>
      <c r="E238" s="18" t="s">
        <v>2259</v>
      </c>
      <c r="F238" s="7" t="s">
        <v>12</v>
      </c>
      <c r="G238" s="7" t="s">
        <v>229</v>
      </c>
    </row>
    <row r="239" customFormat="false" ht="21.75" hidden="false" customHeight="true" outlineLevel="0" collapsed="false">
      <c r="B239" s="11" t="s">
        <v>2260</v>
      </c>
      <c r="C239" s="12" t="s">
        <v>42</v>
      </c>
      <c r="D239" s="13" t="s">
        <v>2261</v>
      </c>
      <c r="E239" s="14" t="s">
        <v>2262</v>
      </c>
      <c r="F239" s="5" t="s">
        <v>12</v>
      </c>
      <c r="G239" s="5" t="s">
        <v>62</v>
      </c>
    </row>
    <row r="240" customFormat="false" ht="21.75" hidden="false" customHeight="true" outlineLevel="0" collapsed="false">
      <c r="B240" s="15" t="s">
        <v>2263</v>
      </c>
      <c r="C240" s="16" t="s">
        <v>42</v>
      </c>
      <c r="D240" s="17" t="s">
        <v>2264</v>
      </c>
      <c r="E240" s="18" t="s">
        <v>2265</v>
      </c>
      <c r="F240" s="7" t="s">
        <v>19</v>
      </c>
      <c r="G240" s="7" t="s">
        <v>55</v>
      </c>
    </row>
    <row r="241" customFormat="false" ht="21.75" hidden="false" customHeight="true" outlineLevel="0" collapsed="false">
      <c r="B241" s="11" t="s">
        <v>2266</v>
      </c>
      <c r="C241" s="12" t="s">
        <v>42</v>
      </c>
      <c r="D241" s="13" t="s">
        <v>2267</v>
      </c>
      <c r="E241" s="14" t="s">
        <v>2268</v>
      </c>
      <c r="F241" s="5" t="s">
        <v>20</v>
      </c>
      <c r="G241" s="5" t="s">
        <v>229</v>
      </c>
    </row>
    <row r="242" customFormat="false" ht="21.75" hidden="false" customHeight="true" outlineLevel="0" collapsed="false">
      <c r="B242" s="15" t="s">
        <v>2269</v>
      </c>
      <c r="C242" s="16" t="s">
        <v>42</v>
      </c>
      <c r="D242" s="17" t="s">
        <v>2270</v>
      </c>
      <c r="E242" s="18" t="s">
        <v>2271</v>
      </c>
      <c r="F242" s="7" t="s">
        <v>12</v>
      </c>
      <c r="G242" s="7" t="s">
        <v>62</v>
      </c>
    </row>
    <row r="243" customFormat="false" ht="21.75" hidden="false" customHeight="true" outlineLevel="0" collapsed="false">
      <c r="B243" s="11" t="s">
        <v>2272</v>
      </c>
      <c r="C243" s="12" t="s">
        <v>42</v>
      </c>
      <c r="D243" s="13" t="s">
        <v>2273</v>
      </c>
      <c r="E243" s="14" t="s">
        <v>2274</v>
      </c>
      <c r="F243" s="5" t="s">
        <v>19</v>
      </c>
      <c r="G243" s="5" t="s">
        <v>62</v>
      </c>
    </row>
    <row r="244" customFormat="false" ht="21.75" hidden="false" customHeight="true" outlineLevel="0" collapsed="false">
      <c r="B244" s="15" t="s">
        <v>2275</v>
      </c>
      <c r="C244" s="16" t="s">
        <v>42</v>
      </c>
      <c r="D244" s="17" t="s">
        <v>2276</v>
      </c>
      <c r="E244" s="18" t="s">
        <v>2277</v>
      </c>
      <c r="F244" s="7" t="s">
        <v>20</v>
      </c>
      <c r="G244" s="7" t="s">
        <v>229</v>
      </c>
    </row>
    <row r="245" customFormat="false" ht="21.75" hidden="false" customHeight="true" outlineLevel="0" collapsed="false">
      <c r="B245" s="11" t="s">
        <v>2278</v>
      </c>
      <c r="C245" s="12" t="s">
        <v>42</v>
      </c>
      <c r="D245" s="13" t="s">
        <v>2279</v>
      </c>
      <c r="E245" s="14" t="s">
        <v>2280</v>
      </c>
      <c r="F245" s="5" t="s">
        <v>12</v>
      </c>
      <c r="G245" s="5" t="s">
        <v>229</v>
      </c>
    </row>
    <row r="246" customFormat="false" ht="21.75" hidden="false" customHeight="true" outlineLevel="0" collapsed="false">
      <c r="B246" s="15" t="s">
        <v>2281</v>
      </c>
      <c r="C246" s="16" t="s">
        <v>42</v>
      </c>
      <c r="D246" s="17" t="s">
        <v>2282</v>
      </c>
      <c r="E246" s="18" t="s">
        <v>2283</v>
      </c>
      <c r="F246" s="7" t="s">
        <v>19</v>
      </c>
      <c r="G246" s="7" t="s">
        <v>229</v>
      </c>
    </row>
    <row r="247" customFormat="false" ht="21.75" hidden="false" customHeight="true" outlineLevel="0" collapsed="false">
      <c r="B247" s="11" t="s">
        <v>2284</v>
      </c>
      <c r="C247" s="12" t="s">
        <v>42</v>
      </c>
      <c r="D247" s="13" t="s">
        <v>2285</v>
      </c>
      <c r="E247" s="14" t="s">
        <v>2286</v>
      </c>
      <c r="F247" s="5" t="s">
        <v>12</v>
      </c>
      <c r="G247" s="5" t="s">
        <v>229</v>
      </c>
    </row>
    <row r="248" customFormat="false" ht="21.75" hidden="false" customHeight="true" outlineLevel="0" collapsed="false">
      <c r="B248" s="15" t="s">
        <v>2287</v>
      </c>
      <c r="C248" s="16" t="s">
        <v>42</v>
      </c>
      <c r="D248" s="17" t="s">
        <v>2288</v>
      </c>
      <c r="E248" s="18" t="s">
        <v>2289</v>
      </c>
      <c r="F248" s="7" t="s">
        <v>12</v>
      </c>
      <c r="G248" s="7" t="s">
        <v>62</v>
      </c>
    </row>
    <row r="249" customFormat="false" ht="21.75" hidden="false" customHeight="true" outlineLevel="0" collapsed="false">
      <c r="B249" s="11" t="s">
        <v>2290</v>
      </c>
      <c r="C249" s="12" t="s">
        <v>42</v>
      </c>
      <c r="D249" s="13" t="s">
        <v>2291</v>
      </c>
      <c r="E249" s="14" t="s">
        <v>2292</v>
      </c>
      <c r="F249" s="5" t="s">
        <v>12</v>
      </c>
      <c r="G249" s="5" t="s">
        <v>229</v>
      </c>
    </row>
    <row r="250" customFormat="false" ht="21.75" hidden="false" customHeight="true" outlineLevel="0" collapsed="false">
      <c r="B250" s="15" t="s">
        <v>2293</v>
      </c>
      <c r="C250" s="16" t="s">
        <v>42</v>
      </c>
      <c r="D250" s="17" t="s">
        <v>2294</v>
      </c>
      <c r="E250" s="18" t="s">
        <v>2295</v>
      </c>
      <c r="F250" s="7" t="s">
        <v>12</v>
      </c>
      <c r="G250" s="7" t="s">
        <v>62</v>
      </c>
    </row>
    <row r="251" customFormat="false" ht="21.75" hidden="false" customHeight="true" outlineLevel="0" collapsed="false">
      <c r="B251" s="11" t="s">
        <v>2296</v>
      </c>
      <c r="C251" s="12" t="s">
        <v>42</v>
      </c>
      <c r="D251" s="13" t="s">
        <v>2297</v>
      </c>
      <c r="E251" s="14" t="s">
        <v>2298</v>
      </c>
      <c r="F251" s="5" t="s">
        <v>12</v>
      </c>
      <c r="G251" s="5" t="s">
        <v>62</v>
      </c>
    </row>
    <row r="252" customFormat="false" ht="21.75" hidden="false" customHeight="true" outlineLevel="0" collapsed="false">
      <c r="B252" s="15" t="s">
        <v>2299</v>
      </c>
      <c r="C252" s="16" t="s">
        <v>42</v>
      </c>
      <c r="D252" s="17" t="s">
        <v>2300</v>
      </c>
      <c r="E252" s="18" t="s">
        <v>2301</v>
      </c>
      <c r="F252" s="7" t="s">
        <v>12</v>
      </c>
      <c r="G252" s="7" t="s">
        <v>229</v>
      </c>
    </row>
    <row r="253" customFormat="false" ht="21.75" hidden="false" customHeight="true" outlineLevel="0" collapsed="false">
      <c r="B253" s="11" t="s">
        <v>2302</v>
      </c>
      <c r="C253" s="12" t="s">
        <v>42</v>
      </c>
      <c r="D253" s="13" t="s">
        <v>2303</v>
      </c>
      <c r="E253" s="14" t="s">
        <v>2304</v>
      </c>
      <c r="F253" s="5" t="s">
        <v>12</v>
      </c>
      <c r="G253" s="5" t="s">
        <v>62</v>
      </c>
    </row>
    <row r="254" customFormat="false" ht="21.75" hidden="false" customHeight="true" outlineLevel="0" collapsed="false">
      <c r="B254" s="15" t="s">
        <v>2305</v>
      </c>
      <c r="C254" s="16" t="s">
        <v>42</v>
      </c>
      <c r="D254" s="17" t="s">
        <v>2306</v>
      </c>
      <c r="E254" s="18" t="s">
        <v>2307</v>
      </c>
      <c r="F254" s="7" t="s">
        <v>12</v>
      </c>
      <c r="G254" s="7" t="s">
        <v>62</v>
      </c>
    </row>
  </sheetData>
  <autoFilter ref="B4:G254"/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2026-10-19T02:22:23Z</dcterms:created>
  <dc:creator>Z.ai</dc:creator>
  <dc:description/>
  <dc:language>en-US</dc:language>
  <cp:lastModifiedBy/>
  <dcterms:modified xsi:type="dcterms:W3CDTF">2026-10-19T02:22:24Z</dcterms:modified>
  <cp:revision>0</cp:revision>
  <dc:subject/>
  <dc:title>Conta Comigo — Levantamento de 750 Melhorias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